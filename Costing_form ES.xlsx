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PackHub\apps\estimation-studio\"/>
    </mc:Choice>
  </mc:AlternateContent>
  <xr:revisionPtr revIDLastSave="0" documentId="13_ncr:1_{B49B8309-2BAF-41FD-B10F-4C158A2E3085}" xr6:coauthVersionLast="47" xr6:coauthVersionMax="47" xr10:uidLastSave="{00000000-0000-0000-0000-000000000000}"/>
  <bookViews>
    <workbookView xWindow="-120" yWindow="-120" windowWidth="29040" windowHeight="15720" tabRatio="685" firstSheet="1" activeTab="11" xr2:uid="{8B4D55F6-3FB6-4E47-8881-ACB8C7217C59}"/>
  </bookViews>
  <sheets>
    <sheet name="PE Bag" sheetId="11" r:id="rId1"/>
    <sheet name="Substrate Costing Master" sheetId="8" r:id="rId2"/>
    <sheet name="Sheet3" sheetId="9" r:id="rId3"/>
    <sheet name="Roll" sheetId="4" r:id="rId4"/>
    <sheet name="Sheet5" sheetId="13" r:id="rId5"/>
    <sheet name="Data" sheetId="2" r:id="rId6"/>
    <sheet name="Sleeve" sheetId="3" r:id="rId7"/>
    <sheet name="Pouch" sheetId="5" r:id="rId8"/>
    <sheet name="Overall" sheetId="6" r:id="rId9"/>
    <sheet name="Sheet1" sheetId="7" r:id="rId10"/>
    <sheet name="Sheet6" sheetId="14" r:id="rId11"/>
    <sheet name="Sheet7" sheetId="15" r:id="rId12"/>
    <sheet name="Sheet2" sheetId="10" r:id="rId13"/>
    <sheet name="Sheet4" sheetId="12" r:id="rId14"/>
  </sheets>
  <definedNames>
    <definedName name="_xlnm._FilterDatabase" localSheetId="10" hidden="1">Sheet6!$A$2:$E$100</definedName>
    <definedName name="_xlnm._FilterDatabase" localSheetId="1" hidden="1">'Substrate Costing Master'!$A$1:$F$46</definedName>
    <definedName name="Adhesive" localSheetId="0">A[Adhesive]</definedName>
    <definedName name="Adhesive" localSheetId="7">A[Adhesive]</definedName>
    <definedName name="Adhesive" localSheetId="3">A[Adhesive]</definedName>
    <definedName name="Adhesive" localSheetId="6">A[Adhesive]</definedName>
    <definedName name="Adhesive">A[Adhesive]</definedName>
    <definedName name="CO_Pouch" localSheetId="0">'PE Bag'!$K$14</definedName>
    <definedName name="CO_Pouch" localSheetId="7">Pouch!$K$14</definedName>
    <definedName name="CO_Pouch" localSheetId="3">Roll!$K$14</definedName>
    <definedName name="CO_Pouch">Sleeve!$K$14</definedName>
    <definedName name="CO_Roll" localSheetId="0">'PE Bag'!$C$14</definedName>
    <definedName name="CO_Roll" localSheetId="7">Pouch!$C$14</definedName>
    <definedName name="CO_Roll" localSheetId="3">Roll!$C$14</definedName>
    <definedName name="CO_Roll">Sleeve!$C$14</definedName>
    <definedName name="CO_Sleeve" localSheetId="0">'PE Bag'!$G$15</definedName>
    <definedName name="CO_Sleeve" localSheetId="7">Pouch!$G$15</definedName>
    <definedName name="CO_Sleeve" localSheetId="3">Roll!$G$15</definedName>
    <definedName name="CO_Sleeve">Sleeve!$G$15</definedName>
    <definedName name="FLW" localSheetId="0">'PE Bag'!$I$35</definedName>
    <definedName name="FLW" localSheetId="7">Pouch!$I$35</definedName>
    <definedName name="FLW" localSheetId="3">Roll!$I$35</definedName>
    <definedName name="FLW">Sleeve!$I$35</definedName>
    <definedName name="Forms">Overall!$G$2:$M$2</definedName>
    <definedName name="Ink" localSheetId="0">Table4[Ink]</definedName>
    <definedName name="Ink" localSheetId="7">Table4[Ink]</definedName>
    <definedName name="Ink" localSheetId="3">Table4[Ink]</definedName>
    <definedName name="Ink" localSheetId="6">Table4[Ink]</definedName>
    <definedName name="Ink">Table4[Ink]</definedName>
    <definedName name="Nb_Ups_Sleeve" localSheetId="0">'PE Bag'!$G$17</definedName>
    <definedName name="Nb_Ups_Sleeve" localSheetId="7">Pouch!$G$17</definedName>
    <definedName name="Nb_Ups_Sleeve" localSheetId="3">Roll!$G$17</definedName>
    <definedName name="Nb_Ups_Sleeve">Sleeve!$G$17</definedName>
    <definedName name="OQKG" localSheetId="0">'PE Bag'!$I$36</definedName>
    <definedName name="OQKG" localSheetId="7">Pouch!$I$36</definedName>
    <definedName name="OQKG" localSheetId="3">Roll!$I$36</definedName>
    <definedName name="OQKG">Sleeve!$I$36</definedName>
    <definedName name="OQM" localSheetId="0">'PE Bag'!$I$38</definedName>
    <definedName name="OQM" localSheetId="7">Pouch!$I$38</definedName>
    <definedName name="OQM" localSheetId="3">Roll!$I$38</definedName>
    <definedName name="OQM">Sleeve!$I$38</definedName>
    <definedName name="Packaging" localSheetId="0">A[Packaging]</definedName>
    <definedName name="Packaging">A[Packaging]</definedName>
    <definedName name="_xlnm.Print_Area" localSheetId="0">'PE Bag'!$A$1:$L$79</definedName>
    <definedName name="_xlnm.Print_Area" localSheetId="7">Pouch!$A$1:$O$78</definedName>
    <definedName name="_xlnm.Print_Area" localSheetId="3">Roll!$A$1:$L$79</definedName>
    <definedName name="_xlnm.Print_Area" localSheetId="6">Sleeve!$A$1:$L$78</definedName>
    <definedName name="Ptypes" localSheetId="0">PTypeT[Product Type]</definedName>
    <definedName name="Ptypes" localSheetId="7">PTypeT[Product Type]</definedName>
    <definedName name="Ptypes" localSheetId="3">PTypeT[Product Type]</definedName>
    <definedName name="Ptypes" localSheetId="6">PTypeT[Product Type]</definedName>
    <definedName name="Ptypes">PTypeT[Product Type]</definedName>
    <definedName name="Substrate" localSheetId="0">Table3[Substrate]</definedName>
    <definedName name="Substrate" localSheetId="7">Table3[Substrate]</definedName>
    <definedName name="Substrate" localSheetId="3">Table3[Substrate]</definedName>
    <definedName name="Substrate" localSheetId="6">Table3[Substrate]</definedName>
    <definedName name="Substrate">Table3[Substrate]</definedName>
    <definedName name="Substrates" localSheetId="0">Table3[Substrate]</definedName>
    <definedName name="Substrates" localSheetId="7">Table3[Substrate]</definedName>
    <definedName name="Substrates" localSheetId="3">Table3[Substrate]</definedName>
    <definedName name="Substrates" localSheetId="6">Table3[Substrate]</definedName>
    <definedName name="Substrates">Table3[Substrate]</definedName>
    <definedName name="Type" localSheetId="0">T[Material Type]</definedName>
    <definedName name="Type" localSheetId="7">T[Material Type]</definedName>
    <definedName name="Type" localSheetId="3">T[Material Type]</definedName>
    <definedName name="Type" localSheetId="6">T[Material Type]</definedName>
    <definedName name="Type">T[Material Type]</definedName>
    <definedName name="Unit" localSheetId="0">UT[Units]</definedName>
    <definedName name="Unit" localSheetId="7">UT[Units]</definedName>
    <definedName name="Unit" localSheetId="3">UT[Units]</definedName>
    <definedName name="Unit" localSheetId="6">UT[Units]</definedName>
    <definedName name="Unit">UT[Units]</definedName>
    <definedName name="UnitsDD" localSheetId="0">'PE Bag'!$K$5</definedName>
    <definedName name="UnitsDD" localSheetId="7">Pouch!$K$5</definedName>
    <definedName name="UnitsDD" localSheetId="3">Roll!$K$5</definedName>
    <definedName name="UnitsDD">Sleeve!$K$5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" i="14" l="1"/>
  <c r="E83" i="14"/>
  <c r="E74" i="14"/>
  <c r="E65" i="14"/>
  <c r="E56" i="14"/>
  <c r="E47" i="14"/>
  <c r="E38" i="14"/>
  <c r="E29" i="14"/>
  <c r="E20" i="14"/>
  <c r="E11" i="14"/>
  <c r="E2" i="14"/>
  <c r="I2" i="12"/>
  <c r="H2" i="12"/>
  <c r="G2" i="12"/>
  <c r="F2" i="12"/>
  <c r="E2" i="12"/>
  <c r="D2" i="12"/>
  <c r="C2" i="12"/>
  <c r="E39" i="11" l="1"/>
  <c r="L20" i="11"/>
  <c r="L18" i="11"/>
  <c r="I31" i="4" l="1"/>
  <c r="I26" i="11"/>
  <c r="I31" i="11"/>
  <c r="C26" i="11"/>
  <c r="B120" i="11" l="1"/>
  <c r="D120" i="11" s="1"/>
  <c r="E120" i="11" s="1"/>
  <c r="D119" i="11"/>
  <c r="E119" i="11" s="1"/>
  <c r="B119" i="11"/>
  <c r="B118" i="11"/>
  <c r="D118" i="11" s="1"/>
  <c r="E118" i="11" s="1"/>
  <c r="D117" i="11"/>
  <c r="E117" i="11" s="1"/>
  <c r="B117" i="11"/>
  <c r="B116" i="11"/>
  <c r="D116" i="11" s="1"/>
  <c r="E116" i="11" s="1"/>
  <c r="D115" i="11"/>
  <c r="E115" i="11" s="1"/>
  <c r="B115" i="11"/>
  <c r="B114" i="11"/>
  <c r="D114" i="11" s="1"/>
  <c r="E114" i="11" s="1"/>
  <c r="D113" i="11"/>
  <c r="E113" i="11" s="1"/>
  <c r="B113" i="11"/>
  <c r="B112" i="11"/>
  <c r="D112" i="11" s="1"/>
  <c r="E112" i="11" s="1"/>
  <c r="D111" i="11"/>
  <c r="E111" i="11" s="1"/>
  <c r="B111" i="11"/>
  <c r="B100" i="11"/>
  <c r="D100" i="11" s="1"/>
  <c r="E100" i="11" s="1"/>
  <c r="E99" i="11"/>
  <c r="D99" i="11"/>
  <c r="B99" i="11"/>
  <c r="D98" i="11"/>
  <c r="E98" i="11" s="1"/>
  <c r="B98" i="11"/>
  <c r="B97" i="11"/>
  <c r="D97" i="11" s="1"/>
  <c r="E97" i="11" s="1"/>
  <c r="B96" i="11"/>
  <c r="D96" i="11" s="1"/>
  <c r="E96" i="11" s="1"/>
  <c r="B95" i="11"/>
  <c r="D95" i="11" s="1"/>
  <c r="E95" i="11" s="1"/>
  <c r="B94" i="11"/>
  <c r="D94" i="11" s="1"/>
  <c r="E94" i="11" s="1"/>
  <c r="B93" i="11"/>
  <c r="D93" i="11" s="1"/>
  <c r="E93" i="11" s="1"/>
  <c r="B92" i="11"/>
  <c r="B91" i="11"/>
  <c r="G69" i="11"/>
  <c r="G68" i="11"/>
  <c r="G67" i="11"/>
  <c r="D49" i="11"/>
  <c r="I36" i="11"/>
  <c r="I35" i="11"/>
  <c r="G31" i="11"/>
  <c r="D104" i="11" s="1"/>
  <c r="E104" i="11" s="1"/>
  <c r="G26" i="11"/>
  <c r="E26" i="11"/>
  <c r="F26" i="11"/>
  <c r="E25" i="11"/>
  <c r="F25" i="11" s="1"/>
  <c r="L19" i="11" s="1"/>
  <c r="C25" i="11"/>
  <c r="I25" i="11" l="1"/>
  <c r="D92" i="11"/>
  <c r="E92" i="11" s="1"/>
  <c r="D91" i="11"/>
  <c r="E91" i="11" s="1"/>
  <c r="E121" i="11"/>
  <c r="E122" i="11" s="1"/>
  <c r="F111" i="11"/>
  <c r="F115" i="11"/>
  <c r="F116" i="11"/>
  <c r="F118" i="11"/>
  <c r="F117" i="11"/>
  <c r="F113" i="11"/>
  <c r="B36" i="11"/>
  <c r="B102" i="11" s="1"/>
  <c r="D102" i="11" s="1"/>
  <c r="E102" i="11" s="1"/>
  <c r="F112" i="11"/>
  <c r="B37" i="11"/>
  <c r="F114" i="11"/>
  <c r="F119" i="11"/>
  <c r="F120" i="11"/>
  <c r="E9" i="9"/>
  <c r="H7" i="9"/>
  <c r="H8" i="9"/>
  <c r="H9" i="9" s="1"/>
  <c r="K7" i="9" s="1"/>
  <c r="H6" i="9"/>
  <c r="D2" i="8"/>
  <c r="E35" i="11" l="1"/>
  <c r="E36" i="11" s="1"/>
  <c r="B35" i="11"/>
  <c r="J25" i="11"/>
  <c r="E60" i="11" s="1"/>
  <c r="G60" i="11" s="1"/>
  <c r="K25" i="11"/>
  <c r="B38" i="11"/>
  <c r="C75" i="11" s="1"/>
  <c r="D75" i="11" s="1"/>
  <c r="J26" i="11"/>
  <c r="J31" i="11" s="1"/>
  <c r="K26" i="11"/>
  <c r="B103" i="11"/>
  <c r="D103" i="11" s="1"/>
  <c r="E103" i="11" s="1"/>
  <c r="E37" i="11"/>
  <c r="E38" i="11" s="1"/>
  <c r="I9" i="9"/>
  <c r="K6" i="9"/>
  <c r="K8" i="9"/>
  <c r="C77" i="11" l="1"/>
  <c r="D47" i="11"/>
  <c r="D53" i="11"/>
  <c r="B101" i="11"/>
  <c r="D101" i="11" s="1"/>
  <c r="E101" i="11" s="1"/>
  <c r="F76" i="11"/>
  <c r="I37" i="11"/>
  <c r="E76" i="11"/>
  <c r="C76" i="11"/>
  <c r="D76" i="11"/>
  <c r="D77" i="11"/>
  <c r="I38" i="11"/>
  <c r="E77" i="11"/>
  <c r="F77" i="11"/>
  <c r="O15" i="5"/>
  <c r="E122" i="5"/>
  <c r="E122" i="3"/>
  <c r="E105" i="11" l="1"/>
  <c r="E78" i="11"/>
  <c r="E79" i="11" s="1"/>
  <c r="F78" i="11"/>
  <c r="F79" i="11" s="1"/>
  <c r="C78" i="11"/>
  <c r="E62" i="11"/>
  <c r="G62" i="11" s="1"/>
  <c r="E65" i="11"/>
  <c r="G65" i="11" s="1"/>
  <c r="E61" i="11"/>
  <c r="G61" i="11" s="1"/>
  <c r="E64" i="11"/>
  <c r="G64" i="11" s="1"/>
  <c r="E63" i="11"/>
  <c r="G63" i="11" s="1"/>
  <c r="E66" i="11"/>
  <c r="G66" i="11" s="1"/>
  <c r="D48" i="11"/>
  <c r="D50" i="11"/>
  <c r="D78" i="11"/>
  <c r="D79" i="11" s="1"/>
  <c r="G67" i="4"/>
  <c r="G68" i="4"/>
  <c r="G69" i="4"/>
  <c r="H60" i="11" l="1"/>
  <c r="H70" i="11" s="1"/>
  <c r="R95" i="11" s="1"/>
  <c r="F99" i="11"/>
  <c r="E106" i="11"/>
  <c r="F104" i="11"/>
  <c r="F95" i="11"/>
  <c r="F96" i="11"/>
  <c r="F94" i="11"/>
  <c r="F92" i="11"/>
  <c r="F91" i="11"/>
  <c r="F98" i="11"/>
  <c r="F93" i="11"/>
  <c r="F100" i="11"/>
  <c r="F97" i="11"/>
  <c r="F102" i="11"/>
  <c r="F103" i="11"/>
  <c r="F101" i="11"/>
  <c r="C79" i="11"/>
  <c r="B120" i="5"/>
  <c r="D120" i="5" s="1"/>
  <c r="E120" i="5" s="1"/>
  <c r="B119" i="5"/>
  <c r="D119" i="5" s="1"/>
  <c r="E119" i="5" s="1"/>
  <c r="B118" i="5"/>
  <c r="D118" i="5" s="1"/>
  <c r="E118" i="5" s="1"/>
  <c r="B117" i="5"/>
  <c r="D117" i="5" s="1"/>
  <c r="E117" i="5" s="1"/>
  <c r="B116" i="5"/>
  <c r="D116" i="5" s="1"/>
  <c r="E116" i="5" s="1"/>
  <c r="B115" i="5"/>
  <c r="D115" i="5" s="1"/>
  <c r="E115" i="5" s="1"/>
  <c r="B114" i="5"/>
  <c r="D114" i="5" s="1"/>
  <c r="E114" i="5" s="1"/>
  <c r="B113" i="5"/>
  <c r="D113" i="5" s="1"/>
  <c r="E113" i="5" s="1"/>
  <c r="B112" i="5"/>
  <c r="D112" i="5" s="1"/>
  <c r="E112" i="5" s="1"/>
  <c r="B111" i="5"/>
  <c r="D111" i="5" s="1"/>
  <c r="E111" i="5" s="1"/>
  <c r="E100" i="5"/>
  <c r="D100" i="5"/>
  <c r="B100" i="5"/>
  <c r="B99" i="5"/>
  <c r="D99" i="5" s="1"/>
  <c r="E99" i="5" s="1"/>
  <c r="B98" i="5"/>
  <c r="B97" i="5"/>
  <c r="B96" i="5"/>
  <c r="B95" i="5"/>
  <c r="B94" i="5"/>
  <c r="B93" i="5"/>
  <c r="B92" i="5"/>
  <c r="B91" i="5"/>
  <c r="G32" i="5"/>
  <c r="D98" i="5" s="1"/>
  <c r="E98" i="5" s="1"/>
  <c r="G26" i="5"/>
  <c r="D92" i="5" s="1"/>
  <c r="E92" i="5" s="1"/>
  <c r="G27" i="5"/>
  <c r="G28" i="5"/>
  <c r="D94" i="5" s="1"/>
  <c r="E94" i="5" s="1"/>
  <c r="G29" i="5"/>
  <c r="G30" i="5"/>
  <c r="D96" i="5" s="1"/>
  <c r="E96" i="5" s="1"/>
  <c r="G31" i="5"/>
  <c r="I35" i="3"/>
  <c r="B120" i="3"/>
  <c r="D120" i="3" s="1"/>
  <c r="E120" i="3" s="1"/>
  <c r="B119" i="3"/>
  <c r="D119" i="3" s="1"/>
  <c r="E119" i="3" s="1"/>
  <c r="B118" i="3"/>
  <c r="D118" i="3" s="1"/>
  <c r="E118" i="3" s="1"/>
  <c r="B117" i="3"/>
  <c r="D117" i="3" s="1"/>
  <c r="E117" i="3" s="1"/>
  <c r="B116" i="3"/>
  <c r="D116" i="3" s="1"/>
  <c r="E116" i="3" s="1"/>
  <c r="B115" i="3"/>
  <c r="D115" i="3" s="1"/>
  <c r="E115" i="3" s="1"/>
  <c r="B114" i="3"/>
  <c r="D114" i="3" s="1"/>
  <c r="E114" i="3" s="1"/>
  <c r="B113" i="3"/>
  <c r="D113" i="3" s="1"/>
  <c r="E113" i="3" s="1"/>
  <c r="B112" i="3"/>
  <c r="D112" i="3" s="1"/>
  <c r="E112" i="3" s="1"/>
  <c r="B111" i="3"/>
  <c r="D111" i="3" s="1"/>
  <c r="E111" i="3" s="1"/>
  <c r="B100" i="3"/>
  <c r="D100" i="3" s="1"/>
  <c r="E100" i="3" s="1"/>
  <c r="B99" i="3"/>
  <c r="D99" i="3" s="1"/>
  <c r="E99" i="3" s="1"/>
  <c r="B98" i="3"/>
  <c r="D98" i="3" s="1"/>
  <c r="E98" i="3" s="1"/>
  <c r="B97" i="3"/>
  <c r="D97" i="3" s="1"/>
  <c r="E97" i="3" s="1"/>
  <c r="B96" i="3"/>
  <c r="D96" i="3" s="1"/>
  <c r="E96" i="3" s="1"/>
  <c r="B95" i="3"/>
  <c r="D95" i="3" s="1"/>
  <c r="E95" i="3" s="1"/>
  <c r="B94" i="3"/>
  <c r="D94" i="3" s="1"/>
  <c r="E94" i="3" s="1"/>
  <c r="B93" i="3"/>
  <c r="D93" i="3" s="1"/>
  <c r="E93" i="3" s="1"/>
  <c r="B92" i="3"/>
  <c r="B91" i="3"/>
  <c r="G26" i="3"/>
  <c r="D92" i="3" s="1"/>
  <c r="G75" i="11" l="1"/>
  <c r="G76" i="11" s="1"/>
  <c r="H76" i="11" s="1"/>
  <c r="E123" i="11"/>
  <c r="R96" i="11"/>
  <c r="E107" i="11"/>
  <c r="D95" i="5"/>
  <c r="E95" i="5" s="1"/>
  <c r="D93" i="5"/>
  <c r="E93" i="5" s="1"/>
  <c r="D97" i="5"/>
  <c r="E97" i="5" s="1"/>
  <c r="E121" i="5"/>
  <c r="E121" i="3"/>
  <c r="H75" i="11" l="1"/>
  <c r="S92" i="11" s="1"/>
  <c r="S95" i="11" s="1"/>
  <c r="G77" i="11"/>
  <c r="H77" i="11" s="1"/>
  <c r="G78" i="11"/>
  <c r="H78" i="11" s="1"/>
  <c r="U95" i="11"/>
  <c r="T95" i="11"/>
  <c r="F112" i="5"/>
  <c r="F119" i="5"/>
  <c r="F111" i="5"/>
  <c r="F116" i="5"/>
  <c r="F115" i="5"/>
  <c r="F113" i="5"/>
  <c r="F118" i="5"/>
  <c r="F120" i="5"/>
  <c r="F117" i="5"/>
  <c r="F114" i="5"/>
  <c r="F119" i="3"/>
  <c r="F120" i="3"/>
  <c r="F117" i="3"/>
  <c r="F118" i="3"/>
  <c r="F116" i="3"/>
  <c r="F115" i="3"/>
  <c r="F113" i="3"/>
  <c r="F112" i="3"/>
  <c r="F114" i="3"/>
  <c r="F111" i="3"/>
  <c r="R98" i="11" l="1"/>
  <c r="S98" i="11" s="1"/>
  <c r="R97" i="11"/>
  <c r="S97" i="11" s="1"/>
  <c r="S96" i="11"/>
  <c r="G79" i="11"/>
  <c r="H79" i="11" s="1"/>
  <c r="B112" i="4"/>
  <c r="D112" i="4" s="1"/>
  <c r="E112" i="4" s="1"/>
  <c r="B113" i="4"/>
  <c r="D113" i="4" s="1"/>
  <c r="E113" i="4" s="1"/>
  <c r="B114" i="4"/>
  <c r="D114" i="4" s="1"/>
  <c r="E114" i="4" s="1"/>
  <c r="B115" i="4"/>
  <c r="D115" i="4" s="1"/>
  <c r="E115" i="4" s="1"/>
  <c r="B116" i="4"/>
  <c r="D116" i="4" s="1"/>
  <c r="E116" i="4" s="1"/>
  <c r="B117" i="4"/>
  <c r="D117" i="4" s="1"/>
  <c r="E117" i="4" s="1"/>
  <c r="B118" i="4"/>
  <c r="D118" i="4" s="1"/>
  <c r="E118" i="4" s="1"/>
  <c r="B119" i="4"/>
  <c r="D119" i="4" s="1"/>
  <c r="E119" i="4" s="1"/>
  <c r="B120" i="4"/>
  <c r="D120" i="4" s="1"/>
  <c r="E120" i="4" s="1"/>
  <c r="B111" i="4"/>
  <c r="D111" i="4" s="1"/>
  <c r="E111" i="4" s="1"/>
  <c r="B91" i="4"/>
  <c r="B94" i="4"/>
  <c r="B95" i="4"/>
  <c r="D95" i="4" s="1"/>
  <c r="E95" i="4" s="1"/>
  <c r="B96" i="4"/>
  <c r="B97" i="4"/>
  <c r="D97" i="4" s="1"/>
  <c r="E97" i="4" s="1"/>
  <c r="B98" i="4"/>
  <c r="D98" i="4" s="1"/>
  <c r="E98" i="4" s="1"/>
  <c r="B99" i="4"/>
  <c r="D99" i="4" s="1"/>
  <c r="E99" i="4" s="1"/>
  <c r="B100" i="4"/>
  <c r="D100" i="4" s="1"/>
  <c r="E100" i="4" s="1"/>
  <c r="B92" i="4"/>
  <c r="B93" i="4"/>
  <c r="D96" i="4" l="1"/>
  <c r="E96" i="4" s="1"/>
  <c r="E121" i="4"/>
  <c r="E122" i="4" s="1"/>
  <c r="G28" i="4"/>
  <c r="D94" i="4" s="1"/>
  <c r="E94" i="4" s="1"/>
  <c r="G26" i="4"/>
  <c r="D92" i="4" s="1"/>
  <c r="G27" i="4"/>
  <c r="D93" i="4" s="1"/>
  <c r="E93" i="4" s="1"/>
  <c r="F113" i="4" l="1"/>
  <c r="F111" i="4"/>
  <c r="F117" i="4"/>
  <c r="F112" i="4"/>
  <c r="F118" i="4"/>
  <c r="F120" i="4"/>
  <c r="F116" i="4"/>
  <c r="F119" i="4"/>
  <c r="F114" i="4"/>
  <c r="F115" i="4"/>
  <c r="C32" i="5"/>
  <c r="E32" i="5"/>
  <c r="F32" i="5" s="1"/>
  <c r="C31" i="5"/>
  <c r="F31" i="5" s="1"/>
  <c r="E31" i="5"/>
  <c r="I31" i="5"/>
  <c r="I26" i="5"/>
  <c r="I26" i="4"/>
  <c r="D49" i="5"/>
  <c r="I35" i="5"/>
  <c r="G33" i="5"/>
  <c r="D104" i="5" s="1"/>
  <c r="E104" i="5" s="1"/>
  <c r="E30" i="5"/>
  <c r="F30" i="5" s="1"/>
  <c r="C30" i="5"/>
  <c r="I29" i="5"/>
  <c r="E29" i="5"/>
  <c r="C29" i="5"/>
  <c r="F29" i="5" s="1"/>
  <c r="E28" i="5"/>
  <c r="F28" i="5" s="1"/>
  <c r="C28" i="5"/>
  <c r="I27" i="5"/>
  <c r="E27" i="5"/>
  <c r="C27" i="5"/>
  <c r="F27" i="5" s="1"/>
  <c r="E26" i="5"/>
  <c r="C26" i="5"/>
  <c r="F26" i="5" s="1"/>
  <c r="G25" i="5"/>
  <c r="D91" i="5" s="1"/>
  <c r="E91" i="5" s="1"/>
  <c r="E25" i="5"/>
  <c r="F25" i="5" s="1"/>
  <c r="C25" i="5"/>
  <c r="O16" i="5"/>
  <c r="D49" i="4"/>
  <c r="I35" i="4"/>
  <c r="G31" i="4"/>
  <c r="D104" i="4" s="1"/>
  <c r="E104" i="4" s="1"/>
  <c r="E28" i="4"/>
  <c r="F28" i="4" s="1"/>
  <c r="I28" i="4" s="1"/>
  <c r="C28" i="4"/>
  <c r="I27" i="4"/>
  <c r="E27" i="4"/>
  <c r="C27" i="4"/>
  <c r="F27" i="4" s="1"/>
  <c r="E26" i="4"/>
  <c r="C26" i="4"/>
  <c r="G25" i="4"/>
  <c r="D91" i="4" s="1"/>
  <c r="E91" i="4" s="1"/>
  <c r="E25" i="4"/>
  <c r="F25" i="4" s="1"/>
  <c r="C25" i="4"/>
  <c r="D49" i="3"/>
  <c r="I25" i="4" l="1"/>
  <c r="F26" i="4"/>
  <c r="O17" i="5"/>
  <c r="B37" i="5"/>
  <c r="I28" i="5"/>
  <c r="I30" i="5"/>
  <c r="I32" i="5"/>
  <c r="B36" i="5"/>
  <c r="B102" i="5" s="1"/>
  <c r="D102" i="5" s="1"/>
  <c r="E102" i="5" s="1"/>
  <c r="I33" i="5"/>
  <c r="I25" i="5"/>
  <c r="B36" i="4"/>
  <c r="B102" i="4" s="1"/>
  <c r="D102" i="4" s="1"/>
  <c r="E102" i="4" s="1"/>
  <c r="B37" i="4"/>
  <c r="E37" i="4" l="1"/>
  <c r="E39" i="4" s="1"/>
  <c r="I36" i="4" s="1"/>
  <c r="J25" i="4" s="1"/>
  <c r="B35" i="4"/>
  <c r="B101" i="4" s="1"/>
  <c r="D101" i="4" s="1"/>
  <c r="E101" i="4" s="1"/>
  <c r="K31" i="5"/>
  <c r="B103" i="5"/>
  <c r="D103" i="5" s="1"/>
  <c r="E103" i="5" s="1"/>
  <c r="E38" i="4"/>
  <c r="I38" i="4" s="1"/>
  <c r="E62" i="4" s="1"/>
  <c r="G62" i="4" s="1"/>
  <c r="B38" i="5"/>
  <c r="C75" i="5" s="1"/>
  <c r="E35" i="4"/>
  <c r="B103" i="4"/>
  <c r="D103" i="4" s="1"/>
  <c r="E103" i="4" s="1"/>
  <c r="J27" i="4"/>
  <c r="J26" i="4"/>
  <c r="J28" i="4"/>
  <c r="K32" i="5"/>
  <c r="K29" i="5"/>
  <c r="K30" i="5"/>
  <c r="K25" i="5"/>
  <c r="K26" i="5"/>
  <c r="E35" i="5"/>
  <c r="B35" i="5"/>
  <c r="B101" i="5" s="1"/>
  <c r="D101" i="5" s="1"/>
  <c r="E101" i="5" s="1"/>
  <c r="K28" i="5"/>
  <c r="E37" i="5"/>
  <c r="K27" i="5"/>
  <c r="B38" i="4"/>
  <c r="C75" i="4" s="1"/>
  <c r="K25" i="4"/>
  <c r="K26" i="4"/>
  <c r="K27" i="4"/>
  <c r="K28" i="4"/>
  <c r="G31" i="3"/>
  <c r="D104" i="3" s="1"/>
  <c r="E104" i="3" s="1"/>
  <c r="E65" i="4" l="1"/>
  <c r="G65" i="4" s="1"/>
  <c r="E64" i="4"/>
  <c r="G64" i="4" s="1"/>
  <c r="E61" i="4"/>
  <c r="G61" i="4" s="1"/>
  <c r="E63" i="4"/>
  <c r="G63" i="4" s="1"/>
  <c r="E66" i="4"/>
  <c r="G66" i="4" s="1"/>
  <c r="E105" i="5"/>
  <c r="F101" i="5" s="1"/>
  <c r="D75" i="5"/>
  <c r="D77" i="5" s="1"/>
  <c r="F103" i="5"/>
  <c r="D75" i="4"/>
  <c r="D78" i="4" s="1"/>
  <c r="D79" i="4" s="1"/>
  <c r="C78" i="4"/>
  <c r="C79" i="4" s="1"/>
  <c r="E60" i="4"/>
  <c r="G60" i="4" s="1"/>
  <c r="E92" i="4"/>
  <c r="D47" i="4"/>
  <c r="D50" i="4" s="1"/>
  <c r="F77" i="5"/>
  <c r="E77" i="5"/>
  <c r="E39" i="5"/>
  <c r="D78" i="5" s="1"/>
  <c r="D79" i="5" s="1"/>
  <c r="E38" i="5"/>
  <c r="D47" i="5"/>
  <c r="D53" i="5"/>
  <c r="E36" i="5"/>
  <c r="E76" i="5"/>
  <c r="F76" i="5"/>
  <c r="O18" i="5"/>
  <c r="D76" i="5"/>
  <c r="C77" i="5"/>
  <c r="C76" i="5"/>
  <c r="E36" i="4"/>
  <c r="I37" i="4" s="1"/>
  <c r="F76" i="4"/>
  <c r="E76" i="4"/>
  <c r="D53" i="4"/>
  <c r="F77" i="4"/>
  <c r="E77" i="4"/>
  <c r="C77" i="4"/>
  <c r="C76" i="4"/>
  <c r="I26" i="3"/>
  <c r="E26" i="3"/>
  <c r="C26" i="3"/>
  <c r="F26" i="3" s="1"/>
  <c r="B36" i="3" s="1"/>
  <c r="B102" i="3" s="1"/>
  <c r="D102" i="3" s="1"/>
  <c r="E102" i="3" s="1"/>
  <c r="G25" i="3"/>
  <c r="D91" i="3" s="1"/>
  <c r="E91" i="3" s="1"/>
  <c r="E25" i="3"/>
  <c r="F25" i="3" s="1"/>
  <c r="C25" i="3"/>
  <c r="D77" i="4" l="1"/>
  <c r="D76" i="4"/>
  <c r="F96" i="5"/>
  <c r="F92" i="5"/>
  <c r="E106" i="5"/>
  <c r="F99" i="5"/>
  <c r="F100" i="5"/>
  <c r="F95" i="5"/>
  <c r="F93" i="5"/>
  <c r="F98" i="5"/>
  <c r="F97" i="5"/>
  <c r="F94" i="5"/>
  <c r="F104" i="5"/>
  <c r="F91" i="5"/>
  <c r="F102" i="5"/>
  <c r="I36" i="5"/>
  <c r="J31" i="5" s="1"/>
  <c r="E105" i="4"/>
  <c r="D48" i="5"/>
  <c r="D50" i="5"/>
  <c r="F78" i="5"/>
  <c r="F79" i="5" s="1"/>
  <c r="E78" i="5"/>
  <c r="E79" i="5" s="1"/>
  <c r="C78" i="5"/>
  <c r="C79" i="5" s="1"/>
  <c r="F78" i="4"/>
  <c r="F79" i="4" s="1"/>
  <c r="E78" i="4"/>
  <c r="E79" i="4" s="1"/>
  <c r="D48" i="4"/>
  <c r="I31" i="3"/>
  <c r="B37" i="3"/>
  <c r="I25" i="3"/>
  <c r="F92" i="4" l="1"/>
  <c r="E106" i="4"/>
  <c r="R96" i="5"/>
  <c r="E107" i="5"/>
  <c r="K88" i="5"/>
  <c r="E37" i="3"/>
  <c r="B103" i="3"/>
  <c r="D103" i="3" s="1"/>
  <c r="E103" i="3" s="1"/>
  <c r="J27" i="5"/>
  <c r="J26" i="5"/>
  <c r="J30" i="5"/>
  <c r="I38" i="5"/>
  <c r="E65" i="5" s="1"/>
  <c r="G65" i="5" s="1"/>
  <c r="J29" i="5"/>
  <c r="J32" i="5"/>
  <c r="I37" i="5"/>
  <c r="J28" i="5"/>
  <c r="J25" i="5"/>
  <c r="F100" i="4"/>
  <c r="F95" i="4"/>
  <c r="F97" i="4"/>
  <c r="F96" i="4"/>
  <c r="F98" i="4"/>
  <c r="F99" i="4"/>
  <c r="F93" i="4"/>
  <c r="F94" i="4"/>
  <c r="F91" i="4"/>
  <c r="F104" i="4"/>
  <c r="F102" i="4"/>
  <c r="F101" i="4"/>
  <c r="F103" i="4"/>
  <c r="J31" i="4"/>
  <c r="G68" i="5"/>
  <c r="G67" i="5"/>
  <c r="K26" i="3"/>
  <c r="K25" i="3"/>
  <c r="B38" i="3"/>
  <c r="C75" i="3" s="1"/>
  <c r="E35" i="3"/>
  <c r="F76" i="3" s="1"/>
  <c r="B35" i="3"/>
  <c r="E62" i="5" l="1"/>
  <c r="G62" i="5" s="1"/>
  <c r="E61" i="5"/>
  <c r="G61" i="5" s="1"/>
  <c r="E66" i="5"/>
  <c r="G66" i="5" s="1"/>
  <c r="E63" i="5"/>
  <c r="G63" i="5" s="1"/>
  <c r="J33" i="5"/>
  <c r="E64" i="5"/>
  <c r="G64" i="5" s="1"/>
  <c r="O19" i="5"/>
  <c r="E69" i="5"/>
  <c r="G69" i="5" s="1"/>
  <c r="E39" i="3"/>
  <c r="C78" i="3" s="1"/>
  <c r="C79" i="3" s="1"/>
  <c r="E38" i="3"/>
  <c r="E60" i="5"/>
  <c r="G60" i="5" s="1"/>
  <c r="H60" i="5" s="1"/>
  <c r="H70" i="5" s="1"/>
  <c r="E107" i="4"/>
  <c r="R96" i="4"/>
  <c r="D53" i="3"/>
  <c r="B101" i="3"/>
  <c r="D101" i="3" s="1"/>
  <c r="E101" i="3" s="1"/>
  <c r="H60" i="4"/>
  <c r="H70" i="4" s="1"/>
  <c r="E123" i="4" s="1"/>
  <c r="O20" i="5"/>
  <c r="C76" i="3"/>
  <c r="C77" i="3"/>
  <c r="E36" i="3"/>
  <c r="I36" i="3" s="1"/>
  <c r="I37" i="3" s="1"/>
  <c r="E76" i="3"/>
  <c r="D47" i="3"/>
  <c r="D48" i="3" s="1"/>
  <c r="F77" i="3"/>
  <c r="E77" i="3"/>
  <c r="G75" i="5" l="1"/>
  <c r="G78" i="5" s="1"/>
  <c r="E123" i="5"/>
  <c r="H88" i="5"/>
  <c r="J88" i="5" s="1"/>
  <c r="R95" i="5"/>
  <c r="R95" i="4"/>
  <c r="T95" i="4" s="1"/>
  <c r="H75" i="5"/>
  <c r="S92" i="5" s="1"/>
  <c r="G75" i="4"/>
  <c r="G76" i="4" s="1"/>
  <c r="H76" i="4" s="1"/>
  <c r="G60" i="3"/>
  <c r="D50" i="3"/>
  <c r="E78" i="3"/>
  <c r="E79" i="3" s="1"/>
  <c r="F78" i="3"/>
  <c r="F79" i="3" s="1"/>
  <c r="D75" i="3"/>
  <c r="G77" i="5" l="1"/>
  <c r="H77" i="5" s="1"/>
  <c r="G76" i="5"/>
  <c r="H76" i="5" s="1"/>
  <c r="U95" i="4"/>
  <c r="S95" i="5"/>
  <c r="U95" i="5"/>
  <c r="T95" i="5"/>
  <c r="R98" i="5"/>
  <c r="S98" i="5" s="1"/>
  <c r="R97" i="5"/>
  <c r="S97" i="5" s="1"/>
  <c r="S96" i="5"/>
  <c r="H78" i="5"/>
  <c r="G79" i="5"/>
  <c r="H79" i="5" s="1"/>
  <c r="G78" i="4"/>
  <c r="G77" i="4"/>
  <c r="H77" i="4" s="1"/>
  <c r="H75" i="4"/>
  <c r="S92" i="4" s="1"/>
  <c r="I38" i="3"/>
  <c r="J26" i="3"/>
  <c r="J25" i="3"/>
  <c r="D77" i="3"/>
  <c r="D76" i="3"/>
  <c r="D78" i="3"/>
  <c r="D79" i="3" s="1"/>
  <c r="E67" i="3" l="1"/>
  <c r="G67" i="3" s="1"/>
  <c r="E68" i="3"/>
  <c r="G68" i="3" s="1"/>
  <c r="R98" i="4"/>
  <c r="S98" i="4" s="1"/>
  <c r="R97" i="4"/>
  <c r="S95" i="4"/>
  <c r="S96" i="4"/>
  <c r="J31" i="3"/>
  <c r="C92" i="3"/>
  <c r="E92" i="3" s="1"/>
  <c r="H78" i="4"/>
  <c r="G79" i="4"/>
  <c r="H79" i="4" s="1"/>
  <c r="G69" i="3"/>
  <c r="E61" i="3"/>
  <c r="G61" i="3" s="1"/>
  <c r="G65" i="3"/>
  <c r="G62" i="3"/>
  <c r="E66" i="3"/>
  <c r="G66" i="3" s="1"/>
  <c r="G64" i="3"/>
  <c r="G63" i="3"/>
  <c r="S97" i="4" l="1"/>
  <c r="E105" i="3"/>
  <c r="F92" i="3" s="1"/>
  <c r="H60" i="3"/>
  <c r="H70" i="3" s="1"/>
  <c r="H88" i="3" l="1"/>
  <c r="R95" i="3"/>
  <c r="G75" i="3"/>
  <c r="G76" i="3" s="1"/>
  <c r="H76" i="3" s="1"/>
  <c r="E123" i="3"/>
  <c r="E106" i="3"/>
  <c r="R96" i="3" s="1"/>
  <c r="F91" i="3"/>
  <c r="F100" i="3"/>
  <c r="F104" i="3"/>
  <c r="F101" i="3"/>
  <c r="F103" i="3"/>
  <c r="F99" i="3"/>
  <c r="F95" i="3"/>
  <c r="F97" i="3"/>
  <c r="F94" i="3"/>
  <c r="F102" i="3"/>
  <c r="F98" i="3"/>
  <c r="F96" i="3"/>
  <c r="F93" i="3"/>
  <c r="T95" i="3" l="1"/>
  <c r="U95" i="3"/>
  <c r="H75" i="3"/>
  <c r="S92" i="3" s="1"/>
  <c r="G78" i="3"/>
  <c r="H78" i="3" s="1"/>
  <c r="G77" i="3"/>
  <c r="H77" i="3" s="1"/>
  <c r="K88" i="3"/>
  <c r="J88" i="3" s="1"/>
  <c r="E107" i="3"/>
  <c r="R98" i="3" l="1"/>
  <c r="S98" i="3" s="1"/>
  <c r="R97" i="3"/>
  <c r="S97" i="3" s="1"/>
  <c r="S95" i="3"/>
  <c r="G79" i="3"/>
  <c r="H79" i="3" s="1"/>
  <c r="S96" i="3"/>
</calcChain>
</file>

<file path=xl/sharedStrings.xml><?xml version="1.0" encoding="utf-8"?>
<sst xmlns="http://schemas.openxmlformats.org/spreadsheetml/2006/main" count="1082" uniqueCount="382">
  <si>
    <t>Roll</t>
  </si>
  <si>
    <t>Sleeve</t>
  </si>
  <si>
    <t>Kgs</t>
  </si>
  <si>
    <t>Kpcs</t>
  </si>
  <si>
    <t>SQM</t>
  </si>
  <si>
    <t>LM</t>
  </si>
  <si>
    <t>Extra Printing Trim</t>
  </si>
  <si>
    <t>Nb. Of Ups</t>
  </si>
  <si>
    <t>Reel Width</t>
  </si>
  <si>
    <t>Cut OFF</t>
  </si>
  <si>
    <t>Pieces per Cut</t>
  </si>
  <si>
    <t>Type</t>
  </si>
  <si>
    <t>Material</t>
  </si>
  <si>
    <t>Solid
%</t>
  </si>
  <si>
    <t>Density</t>
  </si>
  <si>
    <t>Total GSM</t>
  </si>
  <si>
    <t>Cost Per Kg</t>
  </si>
  <si>
    <t>Waste
%</t>
  </si>
  <si>
    <t>Cost / M²</t>
  </si>
  <si>
    <t>Est.
Required Kgs</t>
  </si>
  <si>
    <t>BOPP Pearlized</t>
  </si>
  <si>
    <t>Paper</t>
  </si>
  <si>
    <t>PET Shrink</t>
  </si>
  <si>
    <t>PVC Shrink</t>
  </si>
  <si>
    <t>Solvent Base</t>
  </si>
  <si>
    <t>Solvent Less</t>
  </si>
  <si>
    <t>Mono Component</t>
  </si>
  <si>
    <t>Ink</t>
  </si>
  <si>
    <t>All Colors</t>
  </si>
  <si>
    <t>Special Colors</t>
  </si>
  <si>
    <t>Primer</t>
  </si>
  <si>
    <t>Heat Seal</t>
  </si>
  <si>
    <t>Wax</t>
  </si>
  <si>
    <t>Cold Seal</t>
  </si>
  <si>
    <t>Substrate</t>
  </si>
  <si>
    <t>Adhesive</t>
  </si>
  <si>
    <t>Solid</t>
  </si>
  <si>
    <t>Micron</t>
  </si>
  <si>
    <t xml:space="preserve">Solvent-Based Inks &amp; Adhesives Ratio to Solvent Mix </t>
  </si>
  <si>
    <t>Layer %</t>
  </si>
  <si>
    <t>Film Density</t>
  </si>
  <si>
    <t>Raw Material Cost</t>
  </si>
  <si>
    <t>Plates / Cylinders Cost</t>
  </si>
  <si>
    <t>Delivery Cost</t>
  </si>
  <si>
    <t>Sales Price</t>
  </si>
  <si>
    <t>Per Kg</t>
  </si>
  <si>
    <t>Per Kpcs</t>
  </si>
  <si>
    <t>Per LM</t>
  </si>
  <si>
    <t>Film on Roll: Length in meter</t>
  </si>
  <si>
    <t>Roll Outside Diameter in mm</t>
  </si>
  <si>
    <t>Customer Name</t>
  </si>
  <si>
    <t>Product Type</t>
  </si>
  <si>
    <t>Bag or Pouch</t>
  </si>
  <si>
    <t>Order Quanity</t>
  </si>
  <si>
    <t>Product Dimensions</t>
  </si>
  <si>
    <t>(in mm)</t>
  </si>
  <si>
    <t>Job Name</t>
  </si>
  <si>
    <t>Units</t>
  </si>
  <si>
    <t>Solvent Mix</t>
  </si>
  <si>
    <t>Grams per Piece</t>
  </si>
  <si>
    <t>Square Meter per Kg</t>
  </si>
  <si>
    <t>Linear Meter per Kg</t>
  </si>
  <si>
    <t xml:space="preserve"> If Roll Outside Diameter (With Core)</t>
  </si>
  <si>
    <t>Film on Roll Weight</t>
  </si>
  <si>
    <t>Pieces per Roll</t>
  </si>
  <si>
    <t>Printing Film Width</t>
  </si>
  <si>
    <t>Pieces per Kg</t>
  </si>
  <si>
    <t xml:space="preserve">If Roll </t>
  </si>
  <si>
    <t>If Sleeve</t>
  </si>
  <si>
    <t>Lay-Flat</t>
  </si>
  <si>
    <t>If Bag or Pouch</t>
  </si>
  <si>
    <t>Open Height (F+G+B)</t>
  </si>
  <si>
    <t>Open Width (with Gusset)</t>
  </si>
  <si>
    <t>Zipper Calculations</t>
  </si>
  <si>
    <t>Cost of 1 gr of Zipper</t>
  </si>
  <si>
    <t>Weight of 1 Meter of Zipper</t>
  </si>
  <si>
    <t>Cost of 1 Meter of Zipper</t>
  </si>
  <si>
    <t>Zipper Weight per Pouch</t>
  </si>
  <si>
    <t>Zipper Cost per Pouch</t>
  </si>
  <si>
    <t>Zipper Cost per 1 Kg</t>
  </si>
  <si>
    <t>Quantity Required of Zipper</t>
  </si>
  <si>
    <t>figures can be changed by user</t>
  </si>
  <si>
    <t>Total Micron</t>
  </si>
  <si>
    <t>Total Cost / M²</t>
  </si>
  <si>
    <t xml:space="preserve">Roll After Slitting </t>
  </si>
  <si>
    <t>Roll Width</t>
  </si>
  <si>
    <t>Linear Meter per Kg (film width)</t>
  </si>
  <si>
    <t>Order Quatity in Meter</t>
  </si>
  <si>
    <t>Order Quantity in Kg</t>
  </si>
  <si>
    <t>Order Quantity in Kpieces</t>
  </si>
  <si>
    <t>Per SQM</t>
  </si>
  <si>
    <t>Markup</t>
  </si>
  <si>
    <t>Core Inside Dia +  Core Thickness x 2</t>
  </si>
  <si>
    <t>If Required Roll Weight In Kg (Without Core)</t>
  </si>
  <si>
    <t>Setup Hours Required</t>
  </si>
  <si>
    <t>Total Hours Required</t>
  </si>
  <si>
    <t>Process Cost/Hour</t>
  </si>
  <si>
    <t>Process Cost</t>
  </si>
  <si>
    <t>Total Processes Cost</t>
  </si>
  <si>
    <t>Extrusion</t>
  </si>
  <si>
    <t>Printing</t>
  </si>
  <si>
    <t>Rewinding</t>
  </si>
  <si>
    <t>Lamination 1</t>
  </si>
  <si>
    <t>Lamination 2</t>
  </si>
  <si>
    <t>Slitting</t>
  </si>
  <si>
    <t>Sleeving</t>
  </si>
  <si>
    <t>Doctoring</t>
  </si>
  <si>
    <t>Operation Cost</t>
  </si>
  <si>
    <t>Total Costing</t>
  </si>
  <si>
    <t>Operation Cost Per Kg ---&gt;</t>
  </si>
  <si>
    <t>PE with EVOH</t>
  </si>
  <si>
    <t>PA with PE</t>
  </si>
  <si>
    <t>Glossy Varnish</t>
  </si>
  <si>
    <t>Matt Varnish</t>
  </si>
  <si>
    <t>BOPA Transparent</t>
  </si>
  <si>
    <t>BOPP Transparent</t>
  </si>
  <si>
    <t>BOPP Metalized</t>
  </si>
  <si>
    <t>CPP Metalized</t>
  </si>
  <si>
    <t>CPP Transparent</t>
  </si>
  <si>
    <t>LDPE Transparent</t>
  </si>
  <si>
    <t>LDPE White</t>
  </si>
  <si>
    <t>PET Transparent</t>
  </si>
  <si>
    <t>PET Metalized</t>
  </si>
  <si>
    <t>BOPP Voided</t>
  </si>
  <si>
    <t>Aluminium Foil</t>
  </si>
  <si>
    <t>Speed</t>
  </si>
  <si>
    <t>Lamination 3</t>
  </si>
  <si>
    <t>Pouch Making</t>
  </si>
  <si>
    <t>Total Cost</t>
  </si>
  <si>
    <t>R1</t>
  </si>
  <si>
    <t>Roll 1</t>
  </si>
  <si>
    <t>Sleeve 1</t>
  </si>
  <si>
    <t>S1</t>
  </si>
  <si>
    <t>Pouch</t>
  </si>
  <si>
    <t>P1</t>
  </si>
  <si>
    <t>Order Quantity in Meter (film Width)</t>
  </si>
  <si>
    <t>Actual Vs Estimation</t>
  </si>
  <si>
    <t>Final Output</t>
  </si>
  <si>
    <t>Actual Consumption</t>
  </si>
  <si>
    <t>Solvent -Mix</t>
  </si>
  <si>
    <t>Total Amount</t>
  </si>
  <si>
    <t>Actual Raw Material Cost Per Kg ---&gt;</t>
  </si>
  <si>
    <t>Difference ---&gt;</t>
  </si>
  <si>
    <t>Process</t>
  </si>
  <si>
    <t>Actual Hours</t>
  </si>
  <si>
    <t>Actual Opeeration Cost Per Kg ---&gt;</t>
  </si>
  <si>
    <t>Estimation Total Cost</t>
  </si>
  <si>
    <t>Actual Total Cost</t>
  </si>
  <si>
    <t>Difference</t>
  </si>
  <si>
    <t>Hidden column</t>
  </si>
  <si>
    <t>Roll 500 LM</t>
  </si>
  <si>
    <t>Linear Meter per Kg (Reel Width)</t>
  </si>
  <si>
    <t>&lt;---- check new formula</t>
  </si>
  <si>
    <t>Flexible Packaging  -Cost &amp; Materials Estimation Vs Actual</t>
  </si>
  <si>
    <t>Per Roll 500 LM</t>
  </si>
  <si>
    <t>Check also Data Sheet Roll 500 LM added</t>
  </si>
  <si>
    <t>Estimated Margin</t>
  </si>
  <si>
    <t>Actual Margin</t>
  </si>
  <si>
    <t xml:space="preserve">Actual Total Cost </t>
  </si>
  <si>
    <t xml:space="preserve">Sales Price </t>
  </si>
  <si>
    <t>% of Sales Price</t>
  </si>
  <si>
    <t xml:space="preserve">Estimated Total Cost </t>
  </si>
  <si>
    <t>Copied from H75 or user can change</t>
  </si>
  <si>
    <t>Material Type</t>
  </si>
  <si>
    <t>Product Group</t>
  </si>
  <si>
    <t>Lamination</t>
  </si>
  <si>
    <t>W&amp;H Mira II 10C</t>
  </si>
  <si>
    <t>NM Combi 5000</t>
  </si>
  <si>
    <t>BIMEC BDM100-L</t>
  </si>
  <si>
    <t>RB4-1400</t>
  </si>
  <si>
    <t>DCM SLEEVE 4</t>
  </si>
  <si>
    <t>Sleeve Doctoring</t>
  </si>
  <si>
    <t>DCM BABYCAT</t>
  </si>
  <si>
    <t>KV-KS-SUP-400-D</t>
  </si>
  <si>
    <t>Machine Names</t>
  </si>
  <si>
    <t>Admin</t>
  </si>
  <si>
    <t>Main@propackhub.com</t>
  </si>
  <si>
    <t>Full Access</t>
  </si>
  <si>
    <t>Wrap Around Label</t>
  </si>
  <si>
    <t>Shrink Sleeve</t>
  </si>
  <si>
    <t>Laminates</t>
  </si>
  <si>
    <t>Mono Layer</t>
  </si>
  <si>
    <t>Shrink PE Printed</t>
  </si>
  <si>
    <t>Shrink PE Unprinted</t>
  </si>
  <si>
    <t>FFS PE Rolls Printed</t>
  </si>
  <si>
    <t>FFS PE Rolls Unprinted</t>
  </si>
  <si>
    <t>Pouch Bag</t>
  </si>
  <si>
    <t>W&amp;H 3L Varex II</t>
  </si>
  <si>
    <t>Packaging</t>
  </si>
  <si>
    <t>Wraping Film</t>
  </si>
  <si>
    <t>Paper Sheet</t>
  </si>
  <si>
    <t>Pallet</t>
  </si>
  <si>
    <t>Poduct Type</t>
  </si>
  <si>
    <t>Material Values</t>
  </si>
  <si>
    <t>Global User</t>
  </si>
  <si>
    <t>Projects</t>
  </si>
  <si>
    <t>QC</t>
  </si>
  <si>
    <t>Production</t>
  </si>
  <si>
    <t>Sales</t>
  </si>
  <si>
    <t>Art</t>
  </si>
  <si>
    <t>Costing</t>
  </si>
  <si>
    <t>Sample Analysis</t>
  </si>
  <si>
    <t>Sales Order</t>
  </si>
  <si>
    <t>Name</t>
  </si>
  <si>
    <t>Function</t>
  </si>
  <si>
    <t>Main User</t>
  </si>
  <si>
    <t>Sub User Creation</t>
  </si>
  <si>
    <t>Backend Data Forms</t>
  </si>
  <si>
    <t>Frontend Fillable Forms</t>
  </si>
  <si>
    <t>User 1</t>
  </si>
  <si>
    <t>User 2</t>
  </si>
  <si>
    <t>User 3</t>
  </si>
  <si>
    <t>User 4</t>
  </si>
  <si>
    <t>User 5</t>
  </si>
  <si>
    <t>Access Permission</t>
  </si>
  <si>
    <t>exemple@abc.com</t>
  </si>
  <si>
    <t>Stores</t>
  </si>
  <si>
    <t>User 6</t>
  </si>
  <si>
    <t>Multiple permissions can be assigned to one user</t>
  </si>
  <si>
    <t>Desing Sheet</t>
  </si>
  <si>
    <t>Solid %</t>
  </si>
  <si>
    <t>Waste %</t>
  </si>
  <si>
    <t>Cost/kg (USD)</t>
  </si>
  <si>
    <t>Actions</t>
  </si>
  <si>
    <t>substrate</t>
  </si>
  <si>
    <t>$NaN</t>
  </si>
  <si>
    <t>EditDelete</t>
  </si>
  <si>
    <t>BOPP White</t>
  </si>
  <si>
    <t>LDPE Natural</t>
  </si>
  <si>
    <t>OPP HR 18-20</t>
  </si>
  <si>
    <t>PET 12</t>
  </si>
  <si>
    <t>MetOPP SP07</t>
  </si>
  <si>
    <t>Alu. 7</t>
  </si>
  <si>
    <t>LDPE</t>
  </si>
  <si>
    <t>WPE</t>
  </si>
  <si>
    <t>ALu/PE/GP</t>
  </si>
  <si>
    <t>LDPE 50%PCR</t>
  </si>
  <si>
    <t>Inks</t>
  </si>
  <si>
    <t>Solvent</t>
  </si>
  <si>
    <t>Adhesive SL</t>
  </si>
  <si>
    <t>Adhesive SB</t>
  </si>
  <si>
    <t>Paper White Coated</t>
  </si>
  <si>
    <t>BOPP Transparent HR</t>
  </si>
  <si>
    <t>BOPP Metalized HB</t>
  </si>
  <si>
    <t>BOPP Tansparent LG</t>
  </si>
  <si>
    <t>BOPP White LG</t>
  </si>
  <si>
    <t>7ALu/10PE/30 GP Paper</t>
  </si>
  <si>
    <t>7ALu/10PE/35Paper/12PE</t>
  </si>
  <si>
    <t>60PA/40PE Film</t>
  </si>
  <si>
    <t>PE-EVOH 5% Film</t>
  </si>
  <si>
    <t>Substrate Family</t>
  </si>
  <si>
    <t>Substrate Grade</t>
  </si>
  <si>
    <t>Density (g/cm3)</t>
  </si>
  <si>
    <t>BOPP</t>
  </si>
  <si>
    <t>Density x Caliper</t>
  </si>
  <si>
    <t>BOPP Transparent LG</t>
  </si>
  <si>
    <t>High Barrier</t>
  </si>
  <si>
    <t>BOPP Matte Transparent</t>
  </si>
  <si>
    <t>PET</t>
  </si>
  <si>
    <t>PET White</t>
  </si>
  <si>
    <t>PET Matte</t>
  </si>
  <si>
    <t>PE</t>
  </si>
  <si>
    <t>PE-EVOH</t>
  </si>
  <si>
    <t>PE Shrink</t>
  </si>
  <si>
    <t>CPP</t>
  </si>
  <si>
    <t>CPP White</t>
  </si>
  <si>
    <t>CPP Retort</t>
  </si>
  <si>
    <t>CPP High Seal Strength</t>
  </si>
  <si>
    <t>PA</t>
  </si>
  <si>
    <t>ALU</t>
  </si>
  <si>
    <t>PAPER</t>
  </si>
  <si>
    <t>GSM Direct (do not use density x caliper)</t>
  </si>
  <si>
    <t>Kraft Paper Brown</t>
  </si>
  <si>
    <t>Kraft Paper White</t>
  </si>
  <si>
    <t>MG Paper</t>
  </si>
  <si>
    <t>GP Paper</t>
  </si>
  <si>
    <t>C1S Paper</t>
  </si>
  <si>
    <t>C2S Paper</t>
  </si>
  <si>
    <t>SPECIALTY</t>
  </si>
  <si>
    <t>SLEEVE</t>
  </si>
  <si>
    <t>BOPP White Opaque</t>
  </si>
  <si>
    <t>Hoover</t>
  </si>
  <si>
    <t>Heat Resitant</t>
  </si>
  <si>
    <t>Pealized</t>
  </si>
  <si>
    <t>Normal Grade</t>
  </si>
  <si>
    <t>label Grade</t>
  </si>
  <si>
    <t>Caviated Label Grade 0.62 density</t>
  </si>
  <si>
    <t>Matt</t>
  </si>
  <si>
    <t>Normal Chemical Treated</t>
  </si>
  <si>
    <t>PET Transparent HR</t>
  </si>
  <si>
    <t>Heat resistanr Chemical Treated</t>
  </si>
  <si>
    <t>Normal</t>
  </si>
  <si>
    <t>PET Metalized HB</t>
  </si>
  <si>
    <t>Opaque White</t>
  </si>
  <si>
    <t>Twist Transparent</t>
  </si>
  <si>
    <t>PET Twist Transparent</t>
  </si>
  <si>
    <t>Twist White</t>
  </si>
  <si>
    <t>Form Fill &amp; Seal or Lamination Film</t>
  </si>
  <si>
    <t>Collation Film</t>
  </si>
  <si>
    <t xml:space="preserve">Retort </t>
  </si>
  <si>
    <t>BOPA Transparent HB</t>
  </si>
  <si>
    <t>PA/PE</t>
  </si>
  <si>
    <t>60% PA-40% PE</t>
  </si>
  <si>
    <t>Alloy 1235 for Flexible Packaging</t>
  </si>
  <si>
    <t>High Shrink Cast</t>
  </si>
  <si>
    <t>Normal Shrink Blown</t>
  </si>
  <si>
    <t>High Shrink PETG</t>
  </si>
  <si>
    <t>C PET Shrink</t>
  </si>
  <si>
    <t>High Shrink CPET</t>
  </si>
  <si>
    <t>PE Shrink PCR</t>
  </si>
  <si>
    <t>Collation Film with 50% PCR</t>
  </si>
  <si>
    <t>7ALu/10PE/50Paper/12PE</t>
  </si>
  <si>
    <t>Layer</t>
  </si>
  <si>
    <t>µm</t>
  </si>
  <si>
    <t>g/m²</t>
  </si>
  <si>
    <t>ρ (g/cm³)</t>
  </si>
  <si>
    <t>Al foil</t>
  </si>
  <si>
    <t>Total</t>
  </si>
  <si>
    <t>Al 12.8%PE 18.4%Paper 68.8%caliper 54.5 µm · 58.1 g/m²</t>
  </si>
  <si>
    <r>
      <t>7ALu / 10PE / 30 GP Paper</t>
    </r>
    <r>
      <rPr>
        <sz val="10"/>
        <color rgb="FF3266AD"/>
        <rFont val="Courier New"/>
        <family val="3"/>
      </rPr>
      <t>1.066 g/cm³</t>
    </r>
  </si>
  <si>
    <t>density</t>
  </si>
  <si>
    <t>Butter Wrap</t>
  </si>
  <si>
    <t>Bouillon Wrap</t>
  </si>
  <si>
    <t>User Price</t>
  </si>
  <si>
    <t xml:space="preserve">Market Price </t>
  </si>
  <si>
    <t>Layer 
Nbr</t>
  </si>
  <si>
    <t>Family</t>
  </si>
  <si>
    <t>Grade Name</t>
  </si>
  <si>
    <t>Variable</t>
  </si>
  <si>
    <t>µ / GSM</t>
  </si>
  <si>
    <t>Cost / Kg</t>
  </si>
  <si>
    <t>Claculate</t>
  </si>
  <si>
    <t>Ethyl Acetate</t>
  </si>
  <si>
    <t>Ethanol</t>
  </si>
  <si>
    <t>IPA</t>
  </si>
  <si>
    <t>MEK</t>
  </si>
  <si>
    <t>Toluene</t>
  </si>
  <si>
    <t>Pieces/Kg</t>
  </si>
  <si>
    <t>LM per Kg</t>
  </si>
  <si>
    <t>to</t>
  </si>
  <si>
    <t>∞</t>
  </si>
  <si>
    <t>Cost breakdown</t>
  </si>
  <si>
    <t>Substrates</t>
  </si>
  <si>
    <t>sum of all substrates cost per Kg and per M2</t>
  </si>
  <si>
    <t>Ink, Solvent, Ahdesive &amp; Coating</t>
  </si>
  <si>
    <t>Waste</t>
  </si>
  <si>
    <t>based on the band calclaution</t>
  </si>
  <si>
    <t>coast of the falies packaging in the structure er kg and per m2</t>
  </si>
  <si>
    <t>PrePress</t>
  </si>
  <si>
    <t>Cost of Prepress as capture under Tooling / development charge, per kg and per m2</t>
  </si>
  <si>
    <t>Total RM</t>
  </si>
  <si>
    <t>sum of all above in kg and in m2</t>
  </si>
  <si>
    <t>sum of cost of the families Ink &amp; Coating, Adhesive,Solvent per kg and per m2</t>
  </si>
  <si>
    <t xml:space="preserve">Manufactering &amp; Operating </t>
  </si>
  <si>
    <t>Markup over RM or per kg cost</t>
  </si>
  <si>
    <t xml:space="preserve">Transportation </t>
  </si>
  <si>
    <t>As already defined</t>
  </si>
  <si>
    <r>
      <t>Substrates</t>
    </r>
    <r>
      <rPr>
        <sz val="8"/>
        <color rgb="FF0C0A09"/>
        <rFont val="Consolas"/>
        <family val="3"/>
      </rPr>
      <t>USD 1.69/kg</t>
    </r>
    <r>
      <rPr>
        <sz val="7"/>
        <color rgb="FF78716C"/>
        <rFont val="Consolas"/>
        <family val="3"/>
      </rPr>
      <t>USD 0.1143/m²</t>
    </r>
  </si>
  <si>
    <r>
      <t>Ink, Solvent, Adhesive &amp; Coating</t>
    </r>
    <r>
      <rPr>
        <sz val="8"/>
        <color rgb="FF0C0A09"/>
        <rFont val="Consolas"/>
        <family val="3"/>
      </rPr>
      <t>USD 0.73/kg</t>
    </r>
    <r>
      <rPr>
        <sz val="7"/>
        <color rgb="FF78716C"/>
        <rFont val="Consolas"/>
        <family val="3"/>
      </rPr>
      <t>USD 0.0497/m²</t>
    </r>
  </si>
  <si>
    <r>
      <t>Waste</t>
    </r>
    <r>
      <rPr>
        <sz val="8"/>
        <color rgb="FF0C0A09"/>
        <rFont val="Consolas"/>
        <family val="3"/>
      </rPr>
      <t>USD 0.27/kg</t>
    </r>
    <r>
      <rPr>
        <sz val="7"/>
        <color rgb="FF78716C"/>
        <rFont val="Consolas"/>
        <family val="3"/>
      </rPr>
      <t>USD 0.0180/m²</t>
    </r>
  </si>
  <si>
    <r>
      <t>Total RM</t>
    </r>
    <r>
      <rPr>
        <sz val="8"/>
        <color rgb="FF0C0A09"/>
        <rFont val="Consolas"/>
        <family val="3"/>
      </rPr>
      <t>USD 2.68/kg</t>
    </r>
    <r>
      <rPr>
        <sz val="7"/>
        <color rgb="FF78716C"/>
        <rFont val="Consolas"/>
        <family val="3"/>
      </rPr>
      <t>USD 0.1820/m²</t>
    </r>
  </si>
  <si>
    <r>
      <t>Manufacturing &amp; Operating</t>
    </r>
    <r>
      <rPr>
        <sz val="8"/>
        <color rgb="FF0C0A09"/>
        <rFont val="Consolas"/>
        <family val="3"/>
      </rPr>
      <t>USD 1.20/kg</t>
    </r>
  </si>
  <si>
    <r>
      <t>PrePress</t>
    </r>
    <r>
      <rPr>
        <sz val="8"/>
        <color rgb="FF0C0A09"/>
        <rFont val="Consolas"/>
        <family val="3"/>
      </rPr>
      <t>USD 0.30/kg</t>
    </r>
    <r>
      <rPr>
        <sz val="7"/>
        <color rgb="FF78716C"/>
        <rFont val="Consolas"/>
        <family val="3"/>
      </rPr>
      <t>USD 0.0203/m²</t>
    </r>
  </si>
  <si>
    <r>
      <t>Transportation</t>
    </r>
    <r>
      <rPr>
        <sz val="8"/>
        <color rgb="FF0C0A09"/>
        <rFont val="Consolas"/>
        <family val="3"/>
      </rPr>
      <t>USD 0.50/kg</t>
    </r>
  </si>
  <si>
    <r>
      <t>Selling price</t>
    </r>
    <r>
      <rPr>
        <sz val="8"/>
        <color rgb="FF0C0A09"/>
        <rFont val="Consolas"/>
        <family val="3"/>
      </rPr>
      <t>USD 4.68/kg</t>
    </r>
    <r>
      <rPr>
        <sz val="7"/>
        <color rgb="FF78716C"/>
        <rFont val="Consolas"/>
        <family val="3"/>
      </rPr>
      <t>USD 0.3176/m²</t>
    </r>
  </si>
  <si>
    <t>COMMERCIAL ITEMS PLAIN</t>
  </si>
  <si>
    <t>Amount</t>
  </si>
  <si>
    <t>RM</t>
  </si>
  <si>
    <t>MoRM</t>
  </si>
  <si>
    <t>Sls / Kg</t>
  </si>
  <si>
    <t>RM/Kg</t>
  </si>
  <si>
    <t>MoRM/Kg</t>
  </si>
  <si>
    <t>MoRM %</t>
  </si>
  <si>
    <t>COMMERCIAL ITEMS PRINTED</t>
  </si>
  <si>
    <t>INDUSTRIAL ITEMS PLAIN</t>
  </si>
  <si>
    <t>INDUSTRIAL ITEMS PRINTED</t>
  </si>
  <si>
    <t>Labels</t>
  </si>
  <si>
    <t>Mono Layer Printed</t>
  </si>
  <si>
    <t>SHRINK FILM PLAIN</t>
  </si>
  <si>
    <t>SHRINK FILM PRINTED</t>
  </si>
  <si>
    <t>Shrink Sleeves</t>
  </si>
  <si>
    <t>WIDE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</si>
</sst>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\ &quot;mm&quot;"/>
    <numFmt numFmtId="165" formatCode="0.0000"/>
    <numFmt numFmtId="166" formatCode="h:"/>
    <numFmt numFmtId="167" formatCode="0.000\ &quot;g/cm3&quot;"/>
    <numFmt numFmtId="168" formatCode="0.0"/>
    <numFmt numFmtId="169" formatCode="#,##0\ &quot;Mtr&quot;\ "/>
    <numFmt numFmtId="170" formatCode="#,##0\ &quot;Kgs&quot;\ "/>
    <numFmt numFmtId="171" formatCode="#,##0\ &quot;mm&quot;\ "/>
    <numFmt numFmtId="172" formatCode="_-* #,##0_-;\-* #,##0_-;_-* &quot;-&quot;??_-;_-@_-"/>
    <numFmt numFmtId="173" formatCode="0\ &quot;mm&quot;"/>
    <numFmt numFmtId="174" formatCode="#,##0\ &quot;kgs&quot;\ "/>
    <numFmt numFmtId="175" formatCode="0.000000000000%"/>
    <numFmt numFmtId="176" formatCode="0.00\ &quot;gr&quot;"/>
    <numFmt numFmtId="177" formatCode="0.000"/>
    <numFmt numFmtId="178" formatCode="#,##0\ &quot;Mtr&quot;"/>
    <numFmt numFmtId="179" formatCode="#,##0\ &quot;kgs&quot;"/>
    <numFmt numFmtId="180" formatCode="0\ &quot;Kgs/Hr&quot;"/>
    <numFmt numFmtId="181" formatCode="0\ &quot;Mtr/Min&quot;"/>
    <numFmt numFmtId="182" formatCode="0\ &quot;Pcs/Min&quot;"/>
    <numFmt numFmtId="183" formatCode="#,##0.00_ ;\-#,##0.00\ "/>
    <numFmt numFmtId="184" formatCode="0.0%"/>
    <numFmt numFmtId="185" formatCode="\$0.00"/>
    <numFmt numFmtId="186" formatCode="#,##0\ &quot;Pcs&quot;"/>
  </numFmts>
  <fonts count="6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indexed="8"/>
      <name val="Arial"/>
      <family val="2"/>
    </font>
    <font>
      <sz val="10"/>
      <name val="Times New Roman"/>
      <family val="1"/>
      <charset val="204"/>
    </font>
    <font>
      <sz val="11"/>
      <name val="Aptos Display"/>
      <family val="2"/>
      <scheme val="major"/>
    </font>
    <font>
      <b/>
      <sz val="11"/>
      <color indexed="8"/>
      <name val="Aptos Display"/>
      <family val="2"/>
      <scheme val="major"/>
    </font>
    <font>
      <sz val="11"/>
      <color indexed="8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u/>
      <sz val="12"/>
      <color theme="1"/>
      <name val="Aptos Narrow"/>
      <family val="2"/>
      <scheme val="minor"/>
    </font>
    <font>
      <b/>
      <sz val="11"/>
      <color rgb="FFFF0000"/>
      <name val="Aptos Display"/>
      <family val="2"/>
      <scheme val="maj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b/>
      <u/>
      <sz val="11"/>
      <color theme="1"/>
      <name val="Aptos Narrow"/>
      <family val="2"/>
      <scheme val="minor"/>
    </font>
    <font>
      <b/>
      <sz val="11"/>
      <color theme="0" tint="-4.9989318521683403E-2"/>
      <name val="Aptos Display"/>
      <family val="2"/>
      <scheme val="major"/>
    </font>
    <font>
      <u/>
      <sz val="11"/>
      <color theme="1"/>
      <name val="Aptos Narrow"/>
      <family val="2"/>
      <scheme val="minor"/>
    </font>
    <font>
      <sz val="20"/>
      <color indexed="8"/>
      <name val="Aptos Display"/>
      <family val="2"/>
      <scheme val="maj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rgb="FF8A8E97"/>
      <name val="Arial"/>
      <family val="2"/>
    </font>
    <font>
      <sz val="11"/>
      <color rgb="FF1A1D23"/>
      <name val="Arial"/>
      <family val="2"/>
    </font>
    <font>
      <sz val="11"/>
      <color rgb="FF1E40AF"/>
      <name val="Arial"/>
      <family val="2"/>
    </font>
    <font>
      <sz val="11"/>
      <color rgb="FF1A1D23"/>
      <name val="Courier New"/>
      <family val="3"/>
    </font>
    <font>
      <sz val="11"/>
      <color rgb="FF1A1D23"/>
      <name val="Courier New"/>
      <family val="3"/>
    </font>
    <font>
      <sz val="11"/>
      <color rgb="FF1A1D23"/>
      <name val="Arial"/>
      <family val="2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141413"/>
      <name val="Arial Unicode MS"/>
      <family val="2"/>
    </font>
    <font>
      <sz val="10"/>
      <color rgb="FF3266AD"/>
      <name val="Courier New"/>
      <family val="3"/>
    </font>
    <font>
      <sz val="10"/>
      <color rgb="FF3D3D3A"/>
      <name val="Segoe UI"/>
      <family val="2"/>
    </font>
    <font>
      <sz val="10"/>
      <color rgb="FF141413"/>
      <name val="Segoe UI"/>
      <family val="2"/>
    </font>
    <font>
      <sz val="10"/>
      <color rgb="FF141413"/>
      <name val="Courier New"/>
      <family val="3"/>
    </font>
    <font>
      <sz val="10"/>
      <color rgb="FF141413"/>
      <name val="Segoe UI"/>
      <family val="2"/>
    </font>
    <font>
      <sz val="10"/>
      <color rgb="FF141413"/>
      <name val="Courier New"/>
      <family val="3"/>
    </font>
    <font>
      <sz val="10"/>
      <color rgb="FF3D3D3A"/>
      <name val="Courier New"/>
      <family val="3"/>
    </font>
    <font>
      <sz val="9"/>
      <color rgb="FF8A8E97"/>
      <name val="Arial"/>
      <family val="2"/>
    </font>
    <font>
      <sz val="9"/>
      <color rgb="FF1E40AF"/>
      <name val="Arial"/>
      <family val="2"/>
    </font>
    <font>
      <sz val="9"/>
      <color theme="1"/>
      <name val="Arial"/>
      <family val="2"/>
    </font>
    <font>
      <b/>
      <sz val="11"/>
      <color rgb="FF000000"/>
      <name val="Trebuchet MS"/>
      <family val="2"/>
    </font>
    <font>
      <sz val="11"/>
      <color theme="1"/>
      <name val="Trebuchet MS"/>
      <family val="2"/>
    </font>
    <font>
      <sz val="14"/>
      <color rgb="FF0C0A09"/>
      <name val="Arial"/>
      <family val="2"/>
    </font>
    <font>
      <sz val="14"/>
      <color rgb="FF0C0A09"/>
      <name val="Segoe UI"/>
      <family val="2"/>
    </font>
    <font>
      <sz val="9"/>
      <color rgb="FF0C0A09"/>
      <name val="Segoe UI"/>
      <family val="2"/>
    </font>
    <font>
      <sz val="13.5"/>
      <color rgb="FF0C0A09"/>
      <name val="Arial"/>
      <family val="2"/>
    </font>
    <font>
      <sz val="8"/>
      <color rgb="FF78716C"/>
      <name val="Segoe UI"/>
      <family val="2"/>
    </font>
    <font>
      <sz val="8"/>
      <color rgb="FF0C0A09"/>
      <name val="Consolas"/>
      <family val="3"/>
    </font>
    <font>
      <sz val="7"/>
      <color rgb="FF78716C"/>
      <name val="Consolas"/>
      <family val="3"/>
    </font>
    <font>
      <sz val="8"/>
      <color rgb="FF0C0A09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rgb="FF003366"/>
      </patternFill>
    </fill>
  </fills>
  <borders count="8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/>
      <bottom style="medium">
        <color rgb="FFE7E5E4"/>
      </bottom>
      <diagonal/>
    </border>
    <border>
      <left/>
      <right/>
      <top style="medium">
        <color rgb="FFE7E5E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7" fillId="0" borderId="0"/>
  </cellStyleXfs>
  <cellXfs count="37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Alignment="1">
      <alignment horizontal="right"/>
    </xf>
    <xf numFmtId="0" fontId="0" fillId="3" borderId="0" xfId="0" applyFill="1"/>
    <xf numFmtId="0" fontId="0" fillId="3" borderId="1" xfId="0" applyFill="1" applyBorder="1"/>
    <xf numFmtId="0" fontId="13" fillId="0" borderId="0" xfId="0" applyFont="1"/>
    <xf numFmtId="0" fontId="6" fillId="0" borderId="0" xfId="0" applyFont="1" applyAlignment="1">
      <alignment wrapText="1"/>
    </xf>
    <xf numFmtId="165" fontId="1" fillId="0" borderId="0" xfId="0" applyNumberFormat="1" applyFont="1" applyAlignment="1">
      <alignment horizontal="center"/>
    </xf>
    <xf numFmtId="0" fontId="12" fillId="0" borderId="0" xfId="0" applyFont="1"/>
    <xf numFmtId="172" fontId="0" fillId="0" borderId="0" xfId="2" applyNumberFormat="1" applyFont="1"/>
    <xf numFmtId="175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2" xfId="0" applyBorder="1" applyAlignment="1">
      <alignment horizontal="left"/>
    </xf>
    <xf numFmtId="0" fontId="0" fillId="0" borderId="10" xfId="0" applyBorder="1" applyAlignment="1">
      <alignment horizontal="left"/>
    </xf>
    <xf numFmtId="177" fontId="0" fillId="0" borderId="11" xfId="0" applyNumberFormat="1" applyBorder="1"/>
    <xf numFmtId="176" fontId="0" fillId="0" borderId="11" xfId="0" applyNumberFormat="1" applyBorder="1"/>
    <xf numFmtId="2" fontId="0" fillId="0" borderId="11" xfId="0" applyNumberFormat="1" applyBorder="1"/>
    <xf numFmtId="178" fontId="0" fillId="0" borderId="11" xfId="0" applyNumberFormat="1" applyBorder="1"/>
    <xf numFmtId="179" fontId="0" fillId="0" borderId="14" xfId="0" applyNumberFormat="1" applyBorder="1"/>
    <xf numFmtId="164" fontId="0" fillId="4" borderId="9" xfId="0" applyNumberFormat="1" applyFill="1" applyBorder="1"/>
    <xf numFmtId="164" fontId="0" fillId="4" borderId="11" xfId="0" applyNumberFormat="1" applyFill="1" applyBorder="1"/>
    <xf numFmtId="173" fontId="0" fillId="4" borderId="11" xfId="0" applyNumberFormat="1" applyFill="1" applyBorder="1"/>
    <xf numFmtId="0" fontId="0" fillId="4" borderId="14" xfId="0" applyFill="1" applyBorder="1" applyAlignment="1">
      <alignment horizontal="right"/>
    </xf>
    <xf numFmtId="176" fontId="0" fillId="4" borderId="9" xfId="0" applyNumberFormat="1" applyFill="1" applyBorder="1"/>
    <xf numFmtId="177" fontId="0" fillId="4" borderId="11" xfId="0" applyNumberFormat="1" applyFill="1" applyBorder="1"/>
    <xf numFmtId="1" fontId="0" fillId="0" borderId="0" xfId="0" applyNumberFormat="1" applyAlignment="1">
      <alignment horizontal="center"/>
    </xf>
    <xf numFmtId="167" fontId="0" fillId="0" borderId="0" xfId="0" applyNumberFormat="1"/>
    <xf numFmtId="168" fontId="0" fillId="0" borderId="0" xfId="0" applyNumberFormat="1" applyAlignment="1">
      <alignment horizontal="center"/>
    </xf>
    <xf numFmtId="3" fontId="0" fillId="0" borderId="0" xfId="0" applyNumberFormat="1"/>
    <xf numFmtId="174" fontId="16" fillId="0" borderId="0" xfId="0" applyNumberFormat="1" applyFont="1" applyAlignment="1" applyProtection="1">
      <alignment horizontal="center" vertical="center"/>
      <protection locked="0"/>
    </xf>
    <xf numFmtId="9" fontId="15" fillId="0" borderId="0" xfId="1" applyFont="1" applyFill="1" applyBorder="1" applyAlignment="1">
      <alignment horizontal="center" wrapText="1"/>
    </xf>
    <xf numFmtId="165" fontId="9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vertical="center" wrapText="1"/>
    </xf>
    <xf numFmtId="3" fontId="1" fillId="0" borderId="0" xfId="0" applyNumberFormat="1" applyFont="1"/>
    <xf numFmtId="1" fontId="0" fillId="0" borderId="0" xfId="0" applyNumberFormat="1"/>
    <xf numFmtId="4" fontId="4" fillId="4" borderId="18" xfId="0" applyNumberFormat="1" applyFont="1" applyFill="1" applyBorder="1" applyAlignment="1">
      <alignment horizontal="center"/>
    </xf>
    <xf numFmtId="0" fontId="0" fillId="0" borderId="18" xfId="0" applyBorder="1"/>
    <xf numFmtId="165" fontId="0" fillId="0" borderId="18" xfId="0" applyNumberFormat="1" applyBorder="1" applyAlignment="1">
      <alignment horizontal="center"/>
    </xf>
    <xf numFmtId="9" fontId="0" fillId="0" borderId="18" xfId="1" applyFont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4" borderId="18" xfId="1" applyFont="1" applyFill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0" fontId="4" fillId="0" borderId="0" xfId="0" applyFont="1"/>
    <xf numFmtId="0" fontId="8" fillId="0" borderId="0" xfId="0" applyFont="1" applyAlignment="1">
      <alignment vertical="top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10" fontId="0" fillId="0" borderId="24" xfId="1" applyNumberFormat="1" applyFont="1" applyBorder="1" applyAlignment="1">
      <alignment horizontal="center"/>
    </xf>
    <xf numFmtId="0" fontId="0" fillId="0" borderId="25" xfId="0" applyBorder="1"/>
    <xf numFmtId="166" fontId="1" fillId="0" borderId="27" xfId="0" applyNumberFormat="1" applyFont="1" applyBorder="1"/>
    <xf numFmtId="4" fontId="4" fillId="4" borderId="27" xfId="0" applyNumberFormat="1" applyFont="1" applyFill="1" applyBorder="1" applyAlignment="1">
      <alignment horizontal="center"/>
    </xf>
    <xf numFmtId="0" fontId="0" fillId="0" borderId="27" xfId="0" applyBorder="1"/>
    <xf numFmtId="165" fontId="0" fillId="0" borderId="27" xfId="0" applyNumberFormat="1" applyBorder="1" applyAlignment="1">
      <alignment horizontal="center"/>
    </xf>
    <xf numFmtId="0" fontId="0" fillId="0" borderId="28" xfId="0" applyBorder="1"/>
    <xf numFmtId="0" fontId="1" fillId="4" borderId="27" xfId="0" applyFont="1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9" fontId="0" fillId="0" borderId="31" xfId="1" applyFont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4" fontId="4" fillId="4" borderId="31" xfId="0" applyNumberFormat="1" applyFont="1" applyFill="1" applyBorder="1" applyAlignment="1">
      <alignment horizontal="center"/>
    </xf>
    <xf numFmtId="9" fontId="0" fillId="4" borderId="31" xfId="1" applyFont="1" applyFill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3" fontId="0" fillId="0" borderId="31" xfId="0" applyNumberFormat="1" applyBorder="1" applyAlignment="1">
      <alignment horizontal="center"/>
    </xf>
    <xf numFmtId="10" fontId="0" fillId="0" borderId="32" xfId="1" applyNumberFormat="1" applyFont="1" applyBorder="1" applyAlignment="1">
      <alignment horizontal="center"/>
    </xf>
    <xf numFmtId="0" fontId="0" fillId="7" borderId="0" xfId="0" applyFill="1" applyAlignment="1">
      <alignment horizontal="left"/>
    </xf>
    <xf numFmtId="171" fontId="17" fillId="4" borderId="18" xfId="0" applyNumberFormat="1" applyFont="1" applyFill="1" applyBorder="1" applyAlignment="1">
      <alignment horizontal="center"/>
    </xf>
    <xf numFmtId="170" fontId="17" fillId="4" borderId="18" xfId="0" applyNumberFormat="1" applyFont="1" applyFill="1" applyBorder="1" applyAlignment="1">
      <alignment horizontal="center"/>
    </xf>
    <xf numFmtId="171" fontId="17" fillId="4" borderId="29" xfId="0" applyNumberFormat="1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center" vertical="top" wrapText="1"/>
    </xf>
    <xf numFmtId="0" fontId="19" fillId="7" borderId="0" xfId="0" applyFont="1" applyFill="1"/>
    <xf numFmtId="0" fontId="0" fillId="7" borderId="0" xfId="0" applyFill="1"/>
    <xf numFmtId="0" fontId="6" fillId="7" borderId="0" xfId="0" applyFont="1" applyFill="1" applyAlignment="1">
      <alignment wrapText="1"/>
    </xf>
    <xf numFmtId="0" fontId="0" fillId="7" borderId="0" xfId="0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7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right"/>
    </xf>
    <xf numFmtId="2" fontId="0" fillId="7" borderId="0" xfId="0" applyNumberFormat="1" applyFill="1" applyAlignment="1">
      <alignment horizontal="center"/>
    </xf>
    <xf numFmtId="174" fontId="16" fillId="7" borderId="0" xfId="0" applyNumberFormat="1" applyFont="1" applyFill="1" applyAlignment="1" applyProtection="1">
      <alignment horizontal="center" vertical="center"/>
      <protection locked="0"/>
    </xf>
    <xf numFmtId="9" fontId="15" fillId="7" borderId="0" xfId="1" applyFont="1" applyFill="1" applyBorder="1" applyAlignment="1">
      <alignment horizontal="center" wrapText="1"/>
    </xf>
    <xf numFmtId="2" fontId="9" fillId="7" borderId="2" xfId="0" applyNumberFormat="1" applyFont="1" applyFill="1" applyBorder="1" applyAlignment="1">
      <alignment horizontal="center" vertical="top" shrinkToFit="1"/>
    </xf>
    <xf numFmtId="165" fontId="9" fillId="7" borderId="2" xfId="0" applyNumberFormat="1" applyFont="1" applyFill="1" applyBorder="1" applyAlignment="1">
      <alignment horizontal="center" vertical="top" shrinkToFit="1"/>
    </xf>
    <xf numFmtId="165" fontId="9" fillId="7" borderId="0" xfId="0" applyNumberFormat="1" applyFont="1" applyFill="1" applyAlignment="1">
      <alignment horizontal="center" vertical="top" shrinkToFit="1"/>
    </xf>
    <xf numFmtId="0" fontId="14" fillId="7" borderId="0" xfId="0" applyFont="1" applyFill="1"/>
    <xf numFmtId="170" fontId="0" fillId="7" borderId="18" xfId="0" applyNumberFormat="1" applyFill="1" applyBorder="1" applyAlignment="1">
      <alignment horizontal="center"/>
    </xf>
    <xf numFmtId="169" fontId="0" fillId="7" borderId="18" xfId="0" applyNumberFormat="1" applyFill="1" applyBorder="1" applyAlignment="1">
      <alignment horizontal="center"/>
    </xf>
    <xf numFmtId="164" fontId="0" fillId="7" borderId="18" xfId="0" applyNumberFormat="1" applyFill="1" applyBorder="1" applyAlignment="1">
      <alignment horizontal="center"/>
    </xf>
    <xf numFmtId="3" fontId="0" fillId="7" borderId="18" xfId="0" applyNumberFormat="1" applyFill="1" applyBorder="1" applyAlignment="1">
      <alignment horizontal="center"/>
    </xf>
    <xf numFmtId="3" fontId="1" fillId="7" borderId="0" xfId="0" applyNumberFormat="1" applyFont="1" applyFill="1" applyAlignment="1">
      <alignment horizontal="center"/>
    </xf>
    <xf numFmtId="171" fontId="0" fillId="7" borderId="18" xfId="0" applyNumberFormat="1" applyFill="1" applyBorder="1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9" fontId="0" fillId="2" borderId="0" xfId="1" applyFont="1" applyFill="1"/>
    <xf numFmtId="2" fontId="0" fillId="7" borderId="8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1" fillId="7" borderId="41" xfId="0" applyFont="1" applyFill="1" applyBorder="1" applyAlignment="1">
      <alignment horizontal="center" vertical="center" wrapText="1"/>
    </xf>
    <xf numFmtId="0" fontId="1" fillId="7" borderId="42" xfId="0" applyFont="1" applyFill="1" applyBorder="1" applyAlignment="1">
      <alignment horizontal="center" vertical="center" wrapText="1"/>
    </xf>
    <xf numFmtId="0" fontId="1" fillId="7" borderId="43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/>
    </xf>
    <xf numFmtId="168" fontId="0" fillId="4" borderId="2" xfId="0" applyNumberFormat="1" applyFill="1" applyBorder="1" applyAlignment="1">
      <alignment horizontal="center"/>
    </xf>
    <xf numFmtId="3" fontId="0" fillId="7" borderId="2" xfId="0" applyNumberFormat="1" applyFill="1" applyBorder="1" applyAlignment="1">
      <alignment horizontal="center"/>
    </xf>
    <xf numFmtId="0" fontId="1" fillId="7" borderId="7" xfId="0" applyFont="1" applyFill="1" applyBorder="1"/>
    <xf numFmtId="2" fontId="0" fillId="4" borderId="8" xfId="0" applyNumberFormat="1" applyFill="1" applyBorder="1" applyAlignment="1">
      <alignment horizontal="center"/>
    </xf>
    <xf numFmtId="168" fontId="0" fillId="4" borderId="8" xfId="0" applyNumberFormat="1" applyFill="1" applyBorder="1" applyAlignment="1">
      <alignment horizontal="center"/>
    </xf>
    <xf numFmtId="3" fontId="0" fillId="7" borderId="8" xfId="0" applyNumberFormat="1" applyFill="1" applyBorder="1" applyAlignment="1">
      <alignment horizontal="center"/>
    </xf>
    <xf numFmtId="0" fontId="1" fillId="7" borderId="10" xfId="0" applyFont="1" applyFill="1" applyBorder="1"/>
    <xf numFmtId="0" fontId="1" fillId="7" borderId="12" xfId="0" applyFont="1" applyFill="1" applyBorder="1"/>
    <xf numFmtId="2" fontId="0" fillId="4" borderId="13" xfId="0" applyNumberFormat="1" applyFill="1" applyBorder="1" applyAlignment="1">
      <alignment horizontal="center"/>
    </xf>
    <xf numFmtId="168" fontId="0" fillId="4" borderId="13" xfId="0" applyNumberFormat="1" applyFill="1" applyBorder="1" applyAlignment="1">
      <alignment horizontal="center"/>
    </xf>
    <xf numFmtId="3" fontId="0" fillId="7" borderId="13" xfId="0" applyNumberFormat="1" applyFill="1" applyBorder="1" applyAlignment="1">
      <alignment horizontal="center"/>
    </xf>
    <xf numFmtId="177" fontId="1" fillId="7" borderId="0" xfId="0" applyNumberFormat="1" applyFont="1" applyFill="1" applyAlignment="1">
      <alignment horizontal="center"/>
    </xf>
    <xf numFmtId="3" fontId="0" fillId="2" borderId="33" xfId="0" applyNumberFormat="1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0" fontId="0" fillId="2" borderId="18" xfId="0" applyNumberFormat="1" applyFill="1" applyBorder="1" applyAlignment="1">
      <alignment horizontal="center"/>
    </xf>
    <xf numFmtId="169" fontId="0" fillId="2" borderId="18" xfId="0" applyNumberFormat="1" applyFill="1" applyBorder="1" applyAlignment="1">
      <alignment horizontal="center"/>
    </xf>
    <xf numFmtId="176" fontId="0" fillId="0" borderId="0" xfId="0" applyNumberFormat="1"/>
    <xf numFmtId="177" fontId="0" fillId="0" borderId="0" xfId="0" applyNumberFormat="1"/>
    <xf numFmtId="173" fontId="0" fillId="0" borderId="0" xfId="0" applyNumberFormat="1"/>
    <xf numFmtId="178" fontId="0" fillId="0" borderId="0" xfId="0" applyNumberFormat="1"/>
    <xf numFmtId="179" fontId="0" fillId="0" borderId="0" xfId="0" applyNumberFormat="1"/>
    <xf numFmtId="183" fontId="0" fillId="0" borderId="0" xfId="2" applyNumberFormat="1" applyFont="1" applyFill="1" applyAlignment="1">
      <alignment horizontal="center"/>
    </xf>
    <xf numFmtId="164" fontId="0" fillId="4" borderId="40" xfId="0" applyNumberFormat="1" applyFill="1" applyBorder="1"/>
    <xf numFmtId="0" fontId="0" fillId="4" borderId="11" xfId="0" applyFill="1" applyBorder="1" applyAlignment="1">
      <alignment horizontal="right"/>
    </xf>
    <xf numFmtId="2" fontId="1" fillId="7" borderId="0" xfId="0" applyNumberFormat="1" applyFont="1" applyFill="1" applyAlignment="1">
      <alignment horizontal="center"/>
    </xf>
    <xf numFmtId="3" fontId="13" fillId="4" borderId="0" xfId="0" applyNumberFormat="1" applyFont="1" applyFill="1"/>
    <xf numFmtId="3" fontId="13" fillId="9" borderId="0" xfId="0" applyNumberFormat="1" applyFont="1" applyFill="1"/>
    <xf numFmtId="43" fontId="1" fillId="0" borderId="0" xfId="0" applyNumberFormat="1" applyFont="1"/>
    <xf numFmtId="172" fontId="8" fillId="0" borderId="0" xfId="2" applyNumberFormat="1" applyFont="1" applyAlignment="1">
      <alignment horizontal="center" vertical="top" shrinkToFit="1"/>
    </xf>
    <xf numFmtId="2" fontId="9" fillId="0" borderId="2" xfId="0" applyNumberFormat="1" applyFont="1" applyBorder="1" applyAlignment="1">
      <alignment horizontal="center" vertical="top" shrinkToFit="1"/>
    </xf>
    <xf numFmtId="165" fontId="9" fillId="0" borderId="7" xfId="0" applyNumberFormat="1" applyFont="1" applyBorder="1" applyAlignment="1">
      <alignment horizontal="left" vertical="top" shrinkToFit="1"/>
    </xf>
    <xf numFmtId="2" fontId="9" fillId="0" borderId="8" xfId="0" applyNumberFormat="1" applyFont="1" applyBorder="1" applyAlignment="1">
      <alignment horizontal="center" vertical="top" shrinkToFit="1"/>
    </xf>
    <xf numFmtId="172" fontId="9" fillId="0" borderId="9" xfId="2" applyNumberFormat="1" applyFont="1" applyBorder="1" applyAlignment="1">
      <alignment horizontal="center" vertical="top" shrinkToFit="1"/>
    </xf>
    <xf numFmtId="165" fontId="9" fillId="0" borderId="10" xfId="0" applyNumberFormat="1" applyFont="1" applyBorder="1" applyAlignment="1">
      <alignment horizontal="left" vertical="top" shrinkToFit="1"/>
    </xf>
    <xf numFmtId="172" fontId="9" fillId="0" borderId="11" xfId="2" applyNumberFormat="1" applyFont="1" applyBorder="1" applyAlignment="1">
      <alignment horizontal="center" vertical="top" shrinkToFit="1"/>
    </xf>
    <xf numFmtId="165" fontId="9" fillId="0" borderId="12" xfId="0" applyNumberFormat="1" applyFont="1" applyBorder="1" applyAlignment="1">
      <alignment horizontal="left" vertical="top" shrinkToFit="1"/>
    </xf>
    <xf numFmtId="172" fontId="9" fillId="0" borderId="14" xfId="2" applyNumberFormat="1" applyFont="1" applyBorder="1" applyAlignment="1">
      <alignment horizontal="center" vertical="top" shrinkToFit="1"/>
    </xf>
    <xf numFmtId="165" fontId="8" fillId="0" borderId="0" xfId="0" applyNumberFormat="1" applyFont="1" applyAlignment="1">
      <alignment horizontal="center" vertical="top" shrinkToFit="1"/>
    </xf>
    <xf numFmtId="4" fontId="24" fillId="0" borderId="13" xfId="0" applyNumberFormat="1" applyFont="1" applyBorder="1" applyAlignment="1">
      <alignment horizontal="center"/>
    </xf>
    <xf numFmtId="3" fontId="24" fillId="4" borderId="8" xfId="0" applyNumberFormat="1" applyFont="1" applyFill="1" applyBorder="1"/>
    <xf numFmtId="3" fontId="24" fillId="4" borderId="2" xfId="0" applyNumberFormat="1" applyFont="1" applyFill="1" applyBorder="1"/>
    <xf numFmtId="3" fontId="24" fillId="4" borderId="13" xfId="0" applyNumberFormat="1" applyFont="1" applyFill="1" applyBorder="1"/>
    <xf numFmtId="0" fontId="5" fillId="5" borderId="47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9" xfId="0" applyFont="1" applyFill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top" shrinkToFit="1"/>
    </xf>
    <xf numFmtId="10" fontId="1" fillId="0" borderId="0" xfId="1" applyNumberFormat="1" applyFont="1"/>
    <xf numFmtId="1" fontId="9" fillId="0" borderId="2" xfId="0" applyNumberFormat="1" applyFont="1" applyBorder="1" applyAlignment="1">
      <alignment horizontal="center" vertical="top" shrinkToFit="1"/>
    </xf>
    <xf numFmtId="1" fontId="9" fillId="0" borderId="13" xfId="0" applyNumberFormat="1" applyFont="1" applyBorder="1" applyAlignment="1">
      <alignment horizontal="center" vertical="top" shrinkToFit="1"/>
    </xf>
    <xf numFmtId="184" fontId="1" fillId="0" borderId="0" xfId="1" applyNumberFormat="1" applyFont="1" applyAlignment="1">
      <alignment horizontal="center"/>
    </xf>
    <xf numFmtId="184" fontId="9" fillId="0" borderId="0" xfId="1" applyNumberFormat="1" applyFont="1" applyAlignment="1">
      <alignment horizontal="center" vertical="top" shrinkToFit="1"/>
    </xf>
    <xf numFmtId="165" fontId="9" fillId="0" borderId="0" xfId="0" applyNumberFormat="1" applyFont="1" applyAlignment="1">
      <alignment horizontal="center" vertical="top" wrapText="1" shrinkToFit="1"/>
    </xf>
    <xf numFmtId="0" fontId="0" fillId="0" borderId="52" xfId="0" applyBorder="1"/>
    <xf numFmtId="9" fontId="0" fillId="0" borderId="19" xfId="1" applyFont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4" fontId="4" fillId="4" borderId="19" xfId="0" applyNumberFormat="1" applyFont="1" applyFill="1" applyBorder="1" applyAlignment="1">
      <alignment horizontal="center"/>
    </xf>
    <xf numFmtId="9" fontId="0" fillId="4" borderId="19" xfId="1" applyFont="1" applyFill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0" fontId="0" fillId="0" borderId="2" xfId="0" applyBorder="1"/>
    <xf numFmtId="9" fontId="0" fillId="0" borderId="2" xfId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4" fontId="4" fillId="4" borderId="2" xfId="0" applyNumberFormat="1" applyFont="1" applyFill="1" applyBorder="1" applyAlignment="1">
      <alignment horizontal="center"/>
    </xf>
    <xf numFmtId="9" fontId="0" fillId="4" borderId="2" xfId="1" applyFon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9" fontId="15" fillId="4" borderId="54" xfId="1" applyFont="1" applyFill="1" applyBorder="1" applyAlignment="1">
      <alignment horizontal="center" wrapText="1"/>
    </xf>
    <xf numFmtId="0" fontId="8" fillId="7" borderId="7" xfId="0" applyFont="1" applyFill="1" applyBorder="1" applyAlignment="1">
      <alignment vertical="top" wrapText="1"/>
    </xf>
    <xf numFmtId="2" fontId="9" fillId="7" borderId="8" xfId="0" applyNumberFormat="1" applyFont="1" applyFill="1" applyBorder="1" applyAlignment="1">
      <alignment horizontal="center" vertical="top" shrinkToFi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2" borderId="8" xfId="0" applyNumberFormat="1" applyFont="1" applyFill="1" applyBorder="1" applyAlignment="1">
      <alignment horizontal="center" vertical="center" wrapText="1"/>
    </xf>
    <xf numFmtId="2" fontId="8" fillId="2" borderId="9" xfId="0" applyNumberFormat="1" applyFont="1" applyFill="1" applyBorder="1" applyAlignment="1">
      <alignment horizontal="center" vertical="top" shrinkToFit="1"/>
    </xf>
    <xf numFmtId="0" fontId="8" fillId="7" borderId="10" xfId="0" applyFont="1" applyFill="1" applyBorder="1" applyAlignment="1">
      <alignment vertical="top" wrapText="1"/>
    </xf>
    <xf numFmtId="2" fontId="8" fillId="2" borderId="11" xfId="0" applyNumberFormat="1" applyFont="1" applyFill="1" applyBorder="1" applyAlignment="1">
      <alignment horizontal="center" vertical="top" shrinkToFit="1"/>
    </xf>
    <xf numFmtId="165" fontId="8" fillId="2" borderId="11" xfId="0" applyNumberFormat="1" applyFont="1" applyFill="1" applyBorder="1" applyAlignment="1">
      <alignment horizontal="center" vertical="top" shrinkToFit="1"/>
    </xf>
    <xf numFmtId="0" fontId="8" fillId="7" borderId="12" xfId="0" applyFont="1" applyFill="1" applyBorder="1" applyAlignment="1">
      <alignment vertical="top" wrapText="1"/>
    </xf>
    <xf numFmtId="2" fontId="9" fillId="0" borderId="13" xfId="0" applyNumberFormat="1" applyFont="1" applyBorder="1" applyAlignment="1">
      <alignment horizontal="center" vertical="top" shrinkToFit="1"/>
    </xf>
    <xf numFmtId="2" fontId="8" fillId="2" borderId="14" xfId="0" applyNumberFormat="1" applyFont="1" applyFill="1" applyBorder="1" applyAlignment="1">
      <alignment horizontal="center" vertical="top" shrinkToFit="1"/>
    </xf>
    <xf numFmtId="172" fontId="0" fillId="2" borderId="0" xfId="2" applyNumberFormat="1" applyFont="1" applyFill="1"/>
    <xf numFmtId="166" fontId="1" fillId="0" borderId="59" xfId="0" applyNumberFormat="1" applyFont="1" applyBorder="1"/>
    <xf numFmtId="0" fontId="1" fillId="4" borderId="59" xfId="0" applyFont="1" applyFill="1" applyBorder="1" applyAlignment="1">
      <alignment horizontal="center"/>
    </xf>
    <xf numFmtId="4" fontId="4" fillId="4" borderId="59" xfId="0" applyNumberFormat="1" applyFont="1" applyFill="1" applyBorder="1" applyAlignment="1">
      <alignment horizontal="center"/>
    </xf>
    <xf numFmtId="0" fontId="0" fillId="0" borderId="59" xfId="0" applyBorder="1"/>
    <xf numFmtId="165" fontId="0" fillId="0" borderId="59" xfId="0" applyNumberFormat="1" applyBorder="1" applyAlignment="1">
      <alignment horizontal="center"/>
    </xf>
    <xf numFmtId="3" fontId="0" fillId="2" borderId="59" xfId="0" applyNumberFormat="1" applyFill="1" applyBorder="1" applyAlignment="1">
      <alignment horizontal="center"/>
    </xf>
    <xf numFmtId="0" fontId="0" fillId="0" borderId="60" xfId="0" applyBorder="1"/>
    <xf numFmtId="180" fontId="0" fillId="4" borderId="8" xfId="0" applyNumberFormat="1" applyFill="1" applyBorder="1" applyAlignment="1">
      <alignment horizontal="center"/>
    </xf>
    <xf numFmtId="181" fontId="0" fillId="4" borderId="2" xfId="0" applyNumberFormat="1" applyFill="1" applyBorder="1" applyAlignment="1">
      <alignment horizontal="center"/>
    </xf>
    <xf numFmtId="182" fontId="0" fillId="4" borderId="13" xfId="0" applyNumberFormat="1" applyFill="1" applyBorder="1" applyAlignment="1">
      <alignment horizontal="center"/>
    </xf>
    <xf numFmtId="168" fontId="0" fillId="4" borderId="23" xfId="0" applyNumberFormat="1" applyFill="1" applyBorder="1" applyAlignment="1">
      <alignment horizontal="center"/>
    </xf>
    <xf numFmtId="168" fontId="0" fillId="4" borderId="61" xfId="0" applyNumberFormat="1" applyFill="1" applyBorder="1" applyAlignment="1">
      <alignment horizontal="center"/>
    </xf>
    <xf numFmtId="168" fontId="0" fillId="4" borderId="62" xfId="0" applyNumberFormat="1" applyFill="1" applyBorder="1" applyAlignment="1">
      <alignment horizontal="center"/>
    </xf>
    <xf numFmtId="3" fontId="0" fillId="7" borderId="16" xfId="0" applyNumberFormat="1" applyFill="1" applyBorder="1" applyAlignment="1">
      <alignment horizontal="center"/>
    </xf>
    <xf numFmtId="3" fontId="0" fillId="7" borderId="66" xfId="0" applyNumberFormat="1" applyFill="1" applyBorder="1" applyAlignment="1">
      <alignment horizontal="center"/>
    </xf>
    <xf numFmtId="3" fontId="0" fillId="7" borderId="67" xfId="0" applyNumberFormat="1" applyFill="1" applyBorder="1" applyAlignment="1">
      <alignment horizontal="center"/>
    </xf>
    <xf numFmtId="0" fontId="28" fillId="0" borderId="0" xfId="0" applyFont="1"/>
    <xf numFmtId="184" fontId="0" fillId="0" borderId="2" xfId="1" applyNumberFormat="1" applyFont="1" applyBorder="1" applyAlignment="1">
      <alignment horizontal="center"/>
    </xf>
    <xf numFmtId="0" fontId="1" fillId="0" borderId="2" xfId="0" applyFont="1" applyBorder="1"/>
    <xf numFmtId="184" fontId="1" fillId="0" borderId="0" xfId="1" applyNumberFormat="1" applyFont="1" applyFill="1" applyBorder="1" applyAlignment="1">
      <alignment horizontal="center"/>
    </xf>
    <xf numFmtId="0" fontId="5" fillId="0" borderId="0" xfId="0" applyFont="1" applyAlignment="1">
      <alignment vertical="center" wrapText="1"/>
    </xf>
    <xf numFmtId="0" fontId="27" fillId="10" borderId="54" xfId="0" applyFont="1" applyFill="1" applyBorder="1" applyAlignment="1">
      <alignment horizontal="center"/>
    </xf>
    <xf numFmtId="0" fontId="27" fillId="10" borderId="54" xfId="0" applyFont="1" applyFill="1" applyBorder="1"/>
    <xf numFmtId="2" fontId="0" fillId="0" borderId="39" xfId="0" applyNumberFormat="1" applyBorder="1" applyAlignment="1">
      <alignment horizontal="center"/>
    </xf>
    <xf numFmtId="184" fontId="0" fillId="0" borderId="39" xfId="1" applyNumberFormat="1" applyFont="1" applyBorder="1" applyAlignment="1">
      <alignment horizontal="center"/>
    </xf>
    <xf numFmtId="0" fontId="1" fillId="0" borderId="39" xfId="0" applyFont="1" applyBorder="1"/>
    <xf numFmtId="165" fontId="9" fillId="0" borderId="57" xfId="0" applyNumberFormat="1" applyFont="1" applyBorder="1" applyAlignment="1">
      <alignment vertical="top" shrinkToFit="1"/>
    </xf>
    <xf numFmtId="165" fontId="9" fillId="0" borderId="0" xfId="0" applyNumberFormat="1" applyFont="1" applyAlignment="1">
      <alignment vertical="top" shrinkToFit="1"/>
    </xf>
    <xf numFmtId="0" fontId="26" fillId="0" borderId="0" xfId="0" applyFont="1" applyAlignment="1">
      <alignment vertical="center" textRotation="255"/>
    </xf>
    <xf numFmtId="0" fontId="1" fillId="0" borderId="69" xfId="0" applyFont="1" applyBorder="1"/>
    <xf numFmtId="0" fontId="1" fillId="7" borderId="2" xfId="0" applyFont="1" applyFill="1" applyBorder="1"/>
    <xf numFmtId="0" fontId="1" fillId="4" borderId="2" xfId="0" applyFont="1" applyFill="1" applyBorder="1"/>
    <xf numFmtId="0" fontId="0" fillId="7" borderId="2" xfId="0" applyFill="1" applyBorder="1"/>
    <xf numFmtId="0" fontId="29" fillId="0" borderId="0" xfId="4"/>
    <xf numFmtId="0" fontId="0" fillId="0" borderId="2" xfId="0" applyBorder="1" applyAlignment="1">
      <alignment wrapText="1"/>
    </xf>
    <xf numFmtId="0" fontId="30" fillId="0" borderId="0" xfId="0" applyFont="1"/>
    <xf numFmtId="0" fontId="30" fillId="11" borderId="0" xfId="0" applyFont="1" applyFill="1"/>
    <xf numFmtId="0" fontId="30" fillId="2" borderId="0" xfId="0" applyFont="1" applyFill="1"/>
    <xf numFmtId="0" fontId="30" fillId="2" borderId="72" xfId="0" applyFont="1" applyFill="1" applyBorder="1"/>
    <xf numFmtId="0" fontId="31" fillId="12" borderId="0" xfId="0" applyFont="1" applyFill="1" applyAlignment="1">
      <alignment horizontal="left" vertical="center" wrapText="1"/>
    </xf>
    <xf numFmtId="0" fontId="32" fillId="12" borderId="0" xfId="0" applyFont="1" applyFill="1" applyAlignment="1">
      <alignment vertical="center" wrapText="1"/>
    </xf>
    <xf numFmtId="0" fontId="33" fillId="12" borderId="0" xfId="0" applyFont="1" applyFill="1" applyAlignment="1">
      <alignment vertical="center" wrapText="1"/>
    </xf>
    <xf numFmtId="0" fontId="34" fillId="12" borderId="0" xfId="0" applyFont="1" applyFill="1" applyAlignment="1">
      <alignment vertical="center" wrapText="1"/>
    </xf>
    <xf numFmtId="0" fontId="35" fillId="12" borderId="0" xfId="0" applyFont="1" applyFill="1" applyAlignment="1">
      <alignment vertical="center" wrapText="1"/>
    </xf>
    <xf numFmtId="0" fontId="36" fillId="12" borderId="0" xfId="0" applyFont="1" applyFill="1" applyAlignment="1">
      <alignment vertical="center" wrapText="1"/>
    </xf>
    <xf numFmtId="2" fontId="16" fillId="3" borderId="0" xfId="0" applyNumberFormat="1" applyFont="1" applyFill="1"/>
    <xf numFmtId="2" fontId="16" fillId="0" borderId="0" xfId="0" applyNumberFormat="1" applyFont="1"/>
    <xf numFmtId="0" fontId="0" fillId="0" borderId="71" xfId="0" applyBorder="1"/>
    <xf numFmtId="2" fontId="16" fillId="0" borderId="71" xfId="0" applyNumberFormat="1" applyFont="1" applyBorder="1"/>
    <xf numFmtId="0" fontId="37" fillId="0" borderId="0" xfId="5"/>
    <xf numFmtId="0" fontId="40" fillId="0" borderId="0" xfId="0" applyFont="1" applyAlignment="1">
      <alignment vertical="center" wrapText="1"/>
    </xf>
    <xf numFmtId="0" fontId="16" fillId="0" borderId="0" xfId="0" applyFont="1"/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horizontal="right" vertical="center" wrapText="1"/>
    </xf>
    <xf numFmtId="0" fontId="43" fillId="0" borderId="0" xfId="0" applyFont="1" applyAlignment="1">
      <alignment vertical="center" wrapText="1"/>
    </xf>
    <xf numFmtId="0" fontId="44" fillId="0" borderId="0" xfId="0" applyFont="1" applyAlignment="1">
      <alignment horizontal="right" vertical="center" wrapTex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horizontal="right" vertical="center" wrapText="1"/>
    </xf>
    <xf numFmtId="0" fontId="47" fillId="0" borderId="0" xfId="0" applyFont="1" applyAlignment="1">
      <alignment vertical="center" wrapText="1"/>
    </xf>
    <xf numFmtId="10" fontId="0" fillId="0" borderId="0" xfId="1" applyNumberFormat="1" applyFont="1"/>
    <xf numFmtId="0" fontId="39" fillId="0" borderId="73" xfId="5" applyFont="1" applyBorder="1"/>
    <xf numFmtId="185" fontId="39" fillId="0" borderId="73" xfId="5" applyNumberFormat="1" applyFont="1" applyBorder="1"/>
    <xf numFmtId="0" fontId="39" fillId="0" borderId="74" xfId="5" applyFont="1" applyBorder="1"/>
    <xf numFmtId="185" fontId="39" fillId="0" borderId="75" xfId="5" applyNumberFormat="1" applyFont="1" applyBorder="1"/>
    <xf numFmtId="0" fontId="38" fillId="13" borderId="76" xfId="5" applyFont="1" applyFill="1" applyBorder="1" applyAlignment="1">
      <alignment horizontal="center" vertical="center" wrapText="1"/>
    </xf>
    <xf numFmtId="0" fontId="38" fillId="13" borderId="77" xfId="5" applyFont="1" applyFill="1" applyBorder="1" applyAlignment="1">
      <alignment horizontal="center" vertical="center" wrapText="1"/>
    </xf>
    <xf numFmtId="0" fontId="38" fillId="13" borderId="78" xfId="5" applyFont="1" applyFill="1" applyBorder="1" applyAlignment="1">
      <alignment horizontal="center" vertical="center" wrapText="1"/>
    </xf>
    <xf numFmtId="0" fontId="39" fillId="0" borderId="79" xfId="5" applyFont="1" applyBorder="1"/>
    <xf numFmtId="0" fontId="39" fillId="0" borderId="80" xfId="5" applyFont="1" applyBorder="1"/>
    <xf numFmtId="185" fontId="39" fillId="0" borderId="80" xfId="5" applyNumberFormat="1" applyFont="1" applyBorder="1"/>
    <xf numFmtId="185" fontId="39" fillId="0" borderId="81" xfId="5" applyNumberFormat="1" applyFont="1" applyBorder="1"/>
    <xf numFmtId="2" fontId="39" fillId="0" borderId="73" xfId="5" applyNumberFormat="1" applyFont="1" applyBorder="1"/>
    <xf numFmtId="2" fontId="39" fillId="0" borderId="80" xfId="5" applyNumberFormat="1" applyFont="1" applyBorder="1"/>
    <xf numFmtId="0" fontId="0" fillId="0" borderId="0" xfId="0" applyAlignment="1">
      <alignment vertical="center"/>
    </xf>
    <xf numFmtId="0" fontId="5" fillId="5" borderId="82" xfId="0" applyFont="1" applyFill="1" applyBorder="1" applyAlignment="1">
      <alignment horizontal="center" vertical="center" wrapText="1"/>
    </xf>
    <xf numFmtId="0" fontId="5" fillId="5" borderId="83" xfId="0" applyFont="1" applyFill="1" applyBorder="1" applyAlignment="1">
      <alignment horizontal="center" vertical="center" wrapText="1"/>
    </xf>
    <xf numFmtId="0" fontId="50" fillId="1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2" fontId="0" fillId="2" borderId="0" xfId="0" applyNumberFormat="1" applyFill="1" applyAlignment="1">
      <alignment horizontal="center"/>
    </xf>
    <xf numFmtId="167" fontId="0" fillId="2" borderId="0" xfId="0" applyNumberFormat="1" applyFill="1"/>
    <xf numFmtId="168" fontId="0" fillId="2" borderId="0" xfId="0" applyNumberFormat="1" applyFill="1" applyAlignment="1">
      <alignment horizontal="center"/>
    </xf>
    <xf numFmtId="170" fontId="51" fillId="0" borderId="2" xfId="3" applyNumberFormat="1" applyFont="1" applyBorder="1" applyAlignment="1">
      <alignment horizontal="center" vertical="center"/>
    </xf>
    <xf numFmtId="0" fontId="52" fillId="0" borderId="2" xfId="0" applyFont="1" applyBorder="1" applyAlignment="1">
      <alignment horizontal="center"/>
    </xf>
    <xf numFmtId="0" fontId="52" fillId="0" borderId="2" xfId="0" applyFont="1" applyBorder="1"/>
    <xf numFmtId="186" fontId="51" fillId="0" borderId="2" xfId="3" applyNumberFormat="1" applyFont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54" fillId="0" borderId="0" xfId="0" applyFont="1" applyAlignment="1">
      <alignment vertical="center" wrapText="1"/>
    </xf>
    <xf numFmtId="0" fontId="55" fillId="0" borderId="84" xfId="0" applyFont="1" applyBorder="1" applyAlignment="1">
      <alignment vertical="center" wrapText="1"/>
    </xf>
    <xf numFmtId="0" fontId="56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60" fillId="0" borderId="85" xfId="0" applyFont="1" applyBorder="1" applyAlignment="1">
      <alignment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4" fontId="0" fillId="0" borderId="2" xfId="1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right"/>
    </xf>
    <xf numFmtId="165" fontId="22" fillId="0" borderId="0" xfId="0" applyNumberFormat="1" applyFont="1" applyAlignment="1">
      <alignment horizontal="center" vertical="top" shrinkToFit="1"/>
    </xf>
    <xf numFmtId="0" fontId="25" fillId="7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27" fillId="10" borderId="2" xfId="0" applyFont="1" applyFill="1" applyBorder="1" applyAlignment="1">
      <alignment horizontal="center"/>
    </xf>
    <xf numFmtId="0" fontId="27" fillId="10" borderId="68" xfId="0" applyFont="1" applyFill="1" applyBorder="1" applyAlignment="1">
      <alignment horizontal="center"/>
    </xf>
    <xf numFmtId="0" fontId="27" fillId="10" borderId="0" xfId="0" applyFont="1" applyFill="1" applyAlignment="1">
      <alignment horizont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 vertical="center" wrapText="1"/>
    </xf>
    <xf numFmtId="0" fontId="0" fillId="7" borderId="18" xfId="0" applyFill="1" applyBorder="1" applyAlignment="1">
      <alignment horizontal="left"/>
    </xf>
    <xf numFmtId="3" fontId="0" fillId="7" borderId="63" xfId="0" applyNumberFormat="1" applyFill="1" applyBorder="1" applyAlignment="1">
      <alignment horizontal="center" vertical="center"/>
    </xf>
    <xf numFmtId="3" fontId="0" fillId="7" borderId="64" xfId="0" applyNumberFormat="1" applyFill="1" applyBorder="1" applyAlignment="1">
      <alignment horizontal="center" vertical="center"/>
    </xf>
    <xf numFmtId="3" fontId="0" fillId="7" borderId="65" xfId="0" applyNumberForma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53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top" wrapText="1"/>
    </xf>
    <xf numFmtId="0" fontId="8" fillId="7" borderId="54" xfId="0" applyFont="1" applyFill="1" applyBorder="1" applyAlignment="1">
      <alignment horizontal="center" vertical="top" wrapText="1"/>
    </xf>
    <xf numFmtId="0" fontId="8" fillId="7" borderId="23" xfId="0" applyFont="1" applyFill="1" applyBorder="1" applyAlignment="1">
      <alignment horizontal="center" vertical="center" wrapText="1"/>
    </xf>
    <xf numFmtId="0" fontId="8" fillId="7" borderId="5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right"/>
    </xf>
    <xf numFmtId="0" fontId="1" fillId="0" borderId="2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0" fillId="7" borderId="34" xfId="0" applyFill="1" applyBorder="1" applyAlignment="1">
      <alignment horizontal="left"/>
    </xf>
    <xf numFmtId="0" fontId="0" fillId="7" borderId="35" xfId="0" applyFill="1" applyBorder="1" applyAlignment="1">
      <alignment horizontal="left"/>
    </xf>
    <xf numFmtId="0" fontId="0" fillId="7" borderId="36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10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0" fillId="0" borderId="0" xfId="0" applyFont="1" applyAlignment="1">
      <alignment horizontal="right"/>
    </xf>
    <xf numFmtId="0" fontId="11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3" fontId="13" fillId="4" borderId="0" xfId="0" applyNumberFormat="1" applyFont="1" applyFill="1" applyAlignment="1">
      <alignment horizontal="center"/>
    </xf>
    <xf numFmtId="0" fontId="1" fillId="4" borderId="70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7" borderId="9" xfId="0" applyNumberFormat="1" applyFill="1" applyBorder="1" applyAlignment="1">
      <alignment horizontal="center" vertical="center"/>
    </xf>
    <xf numFmtId="3" fontId="0" fillId="7" borderId="11" xfId="0" applyNumberFormat="1" applyFill="1" applyBorder="1" applyAlignment="1">
      <alignment horizontal="center" vertical="center"/>
    </xf>
    <xf numFmtId="3" fontId="0" fillId="7" borderId="14" xfId="0" applyNumberForma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44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2" fontId="1" fillId="0" borderId="44" xfId="0" applyNumberFormat="1" applyFont="1" applyBorder="1" applyAlignment="1">
      <alignment horizontal="center"/>
    </xf>
    <xf numFmtId="2" fontId="1" fillId="0" borderId="46" xfId="0" applyNumberFormat="1" applyFont="1" applyBorder="1" applyAlignment="1">
      <alignment horizontal="center"/>
    </xf>
    <xf numFmtId="2" fontId="1" fillId="0" borderId="50" xfId="0" applyNumberFormat="1" applyFont="1" applyBorder="1" applyAlignment="1">
      <alignment horizontal="center"/>
    </xf>
    <xf numFmtId="2" fontId="1" fillId="0" borderId="51" xfId="0" applyNumberFormat="1" applyFont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" fillId="0" borderId="58" xfId="0" applyFont="1" applyBorder="1" applyAlignment="1">
      <alignment horizontal="right"/>
    </xf>
    <xf numFmtId="0" fontId="1" fillId="0" borderId="59" xfId="0" applyFont="1" applyBorder="1" applyAlignment="1">
      <alignment horizontal="right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8" fillId="12" borderId="2" xfId="0" applyFont="1" applyFill="1" applyBorder="1" applyAlignment="1">
      <alignment horizontal="center" vertical="center" wrapText="1"/>
    </xf>
    <xf numFmtId="0" fontId="49" fillId="12" borderId="2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1" fillId="0" borderId="86" xfId="0" applyFont="1" applyBorder="1"/>
    <xf numFmtId="3" fontId="1" fillId="0" borderId="86" xfId="0" applyNumberFormat="1" applyFont="1" applyBorder="1"/>
    <xf numFmtId="4" fontId="0" fillId="0" borderId="0" xfId="0" applyNumberFormat="1"/>
    <xf numFmtId="10" fontId="0" fillId="0" borderId="0" xfId="0" applyNumberFormat="1"/>
  </cellXfs>
  <cellStyles count="6">
    <cellStyle name="Comma" xfId="2" builtinId="3"/>
    <cellStyle name="Comma 2" xfId="3" xr:uid="{5B92D4FB-58AC-4B6F-8948-FC935D7592D9}"/>
    <cellStyle name="Hyperlink" xfId="4" builtinId="8"/>
    <cellStyle name="Normal" xfId="0" builtinId="0"/>
    <cellStyle name="Normal 2" xfId="5" xr:uid="{7486CE14-EE8B-431F-8C74-C1432E37A1E0}"/>
    <cellStyle name="Percent" xfId="1" builtinId="5"/>
  </cellStyles>
  <dxfs count="88"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4" formatCode="#,##0.00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4" formatCode="#,##0.00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 diagonalUp="0" diagonalDown="0">
        <left style="medium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>
          <fgColor indexed="64"/>
          <bgColor rgb="FFFFFF00"/>
        </patternFill>
      </fill>
    </dxf>
    <dxf>
      <numFmt numFmtId="2" formatCode="0.00"/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4" formatCode="#,##0.00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 diagonalUp="0" diagonalDown="0">
        <left style="medium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85" formatCode="\$0.00"/>
      <fill>
        <patternFill patternType="none">
          <fgColor indexed="64"/>
          <bgColor indexed="65"/>
        </patternFill>
      </fill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85" formatCode="\$0.00"/>
      <fill>
        <patternFill patternType="none">
          <fgColor indexed="64"/>
          <bgColor indexed="65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medium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4" formatCode="#,##0.00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 diagonalUp="0" diagonalDown="0">
        <left style="medium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</dxfs>
  <tableStyles count="0" defaultTableStyle="TableStyleMedium2" defaultPivotStyle="PivotStyleLight16"/>
  <colors>
    <mruColors>
      <color rgb="FFFFFF99"/>
      <color rgb="FFFFFF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Raw Materials</a:t>
            </a:r>
          </a:p>
          <a:p>
            <a:pPr>
              <a:defRPr/>
            </a:pPr>
            <a:r>
              <a:rPr lang="en-US" sz="1600"/>
              <a:t>Cost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'PE Bag'!$B$91:$B$104</c15:sqref>
                  </c15:fullRef>
                </c:ext>
              </c:extLst>
              <c:f>('PE Bag'!$B$91:$B$94,'PE Bag'!$B$96:$B$104)</c:f>
              <c:strCache>
                <c:ptCount val="13"/>
                <c:pt idx="0">
                  <c:v>LDPE Transparent</c:v>
                </c:pt>
                <c:pt idx="1">
                  <c:v>All Colors</c:v>
                </c:pt>
                <c:pt idx="12">
                  <c:v>Solvent -Mix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'PE Bag'!$F$91:$F$104</c15:sqref>
                  </c15:fullRef>
                </c:ext>
              </c:extLst>
              <c:f>('PE Bag'!$F$91:$F$94,'PE Bag'!$F$96:$F$104)</c:f>
              <c:numCache>
                <c:formatCode>0.0%</c:formatCode>
                <c:ptCount val="13"/>
                <c:pt idx="0">
                  <c:v>0.43920972644376899</c:v>
                </c:pt>
                <c:pt idx="1">
                  <c:v>0.10486322188449848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0.45592705167173253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C-47AD-8BD5-AB756A6172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7207343"/>
        <c:axId val="3772035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'PE Bag'!$B$91:$B$104</c15:sqref>
                        </c15:fullRef>
                        <c15:formulaRef>
                          <c15:sqref>('PE Bag'!$B$91:$B$94,'PE Bag'!$B$96:$B$104)</c15:sqref>
                        </c15:formulaRef>
                      </c:ext>
                    </c:extLst>
                    <c:strCache>
                      <c:ptCount val="13"/>
                      <c:pt idx="0">
                        <c:v>LDPE Transparent</c:v>
                      </c:pt>
                      <c:pt idx="1">
                        <c:v>All Colors</c:v>
                      </c:pt>
                      <c:pt idx="12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'PE Bag'!$F$91:$F$104</c15:sqref>
                        </c15:fullRef>
                        <c15:formulaRef>
                          <c15:sqref>('PE Bag'!$F$91:$F$94,'PE Bag'!$F$96:$F$104)</c15:sqref>
                        </c15:formulaRef>
                      </c:ext>
                    </c:extLst>
                    <c:numCache>
                      <c:formatCode>0.0%</c:formatCode>
                      <c:ptCount val="13"/>
                      <c:pt idx="0">
                        <c:v>0.43920972644376899</c:v>
                      </c:pt>
                      <c:pt idx="1">
                        <c:v>0.10486322188449848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0.45592705167173253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94C-47AD-8BD5-AB756A617296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'PE Bag'!$B$91:$B$104</c15:sqref>
                        </c15:fullRef>
                        <c15:formulaRef>
                          <c15:sqref>('PE Bag'!$B$91:$B$94,'PE Bag'!$B$96:$B$104)</c15:sqref>
                        </c15:formulaRef>
                      </c:ext>
                    </c:extLst>
                    <c:strCache>
                      <c:ptCount val="13"/>
                      <c:pt idx="0">
                        <c:v>LDPE Transparent</c:v>
                      </c:pt>
                      <c:pt idx="1">
                        <c:v>All Colors</c:v>
                      </c:pt>
                      <c:pt idx="12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'PE Bag'!$E$91:$E$104</c15:sqref>
                        </c15:fullRef>
                        <c15:formulaRef>
                          <c15:sqref>('PE Bag'!$E$91:$E$94,'PE Bag'!$E$96:$E$104)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3"/>
                      <c:pt idx="0">
                        <c:v>2890</c:v>
                      </c:pt>
                      <c:pt idx="1">
                        <c:v>690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94C-47AD-8BD5-AB756A617296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'PE Bag'!$B$91:$B$104</c15:sqref>
                        </c15:fullRef>
                        <c15:formulaRef>
                          <c15:sqref>('PE Bag'!$B$91:$B$94,'PE Bag'!$B$96:$B$104)</c15:sqref>
                        </c15:formulaRef>
                      </c:ext>
                    </c:extLst>
                    <c:strCache>
                      <c:ptCount val="13"/>
                      <c:pt idx="0">
                        <c:v>LDPE Transparent</c:v>
                      </c:pt>
                      <c:pt idx="1">
                        <c:v>All Colors</c:v>
                      </c:pt>
                      <c:pt idx="12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'PE Bag'!$F$91:$F$104</c15:sqref>
                        </c15:fullRef>
                        <c15:formulaRef>
                          <c15:sqref>('PE Bag'!$F$91:$F$94,'PE Bag'!$F$96:$F$104)</c15:sqref>
                        </c15:formulaRef>
                      </c:ext>
                    </c:extLst>
                    <c:numCache>
                      <c:formatCode>0.0%</c:formatCode>
                      <c:ptCount val="13"/>
                      <c:pt idx="0">
                        <c:v>0.43920972644376899</c:v>
                      </c:pt>
                      <c:pt idx="1">
                        <c:v>0.10486322188449848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0.45592705167173253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94C-47AD-8BD5-AB756A617296}"/>
                  </c:ext>
                </c:extLst>
              </c15:ser>
            </c15:filteredBarSeries>
          </c:ext>
        </c:extLst>
      </c:barChart>
      <c:catAx>
        <c:axId val="37720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03503"/>
        <c:crosses val="autoZero"/>
        <c:auto val="1"/>
        <c:lblAlgn val="ctr"/>
        <c:lblOffset val="100"/>
        <c:noMultiLvlLbl val="0"/>
      </c:catAx>
      <c:valAx>
        <c:axId val="37720350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3772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Operations</a:t>
            </a:r>
          </a:p>
          <a:p>
            <a:pPr>
              <a:defRPr/>
            </a:pPr>
            <a:r>
              <a:rPr lang="en-US" sz="1600"/>
              <a:t>Cost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 Bag'!$B$111:$B$120</c:f>
              <c:strCache>
                <c:ptCount val="7"/>
                <c:pt idx="0">
                  <c:v>Extrusion</c:v>
                </c:pt>
                <c:pt idx="1">
                  <c:v>Printing</c:v>
                </c:pt>
                <c:pt idx="2">
                  <c:v>Rewinding</c:v>
                </c:pt>
                <c:pt idx="3">
                  <c:v>Lamination 1</c:v>
                </c:pt>
                <c:pt idx="4">
                  <c:v>Lamination 2</c:v>
                </c:pt>
                <c:pt idx="5">
                  <c:v>Lamination 3</c:v>
                </c:pt>
                <c:pt idx="6">
                  <c:v>Slitting</c:v>
                </c:pt>
              </c:strCache>
            </c:strRef>
          </c:cat>
          <c:val>
            <c:numRef>
              <c:f>'PE Bag'!$F$111:$F$120</c:f>
              <c:numCache>
                <c:formatCode>0.0%</c:formatCode>
                <c:ptCount val="10"/>
                <c:pt idx="0">
                  <c:v>0.40414507772020725</c:v>
                </c:pt>
                <c:pt idx="1">
                  <c:v>0.21761658031088082</c:v>
                </c:pt>
                <c:pt idx="2">
                  <c:v>2.072538860103627E-2</c:v>
                </c:pt>
                <c:pt idx="3">
                  <c:v>0.10362694300518134</c:v>
                </c:pt>
                <c:pt idx="4">
                  <c:v>0.10362694300518134</c:v>
                </c:pt>
                <c:pt idx="5">
                  <c:v>0.10362694300518134</c:v>
                </c:pt>
                <c:pt idx="6">
                  <c:v>4.6632124352331605E-2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E-4F89-A991-B851AF1748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7207343"/>
        <c:axId val="3772035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 Bag'!$B$111:$B$120</c15:sqref>
                        </c15:formulaRef>
                      </c:ext>
                    </c:extLst>
                    <c:strCache>
                      <c:ptCount val="7"/>
                      <c:pt idx="0">
                        <c:v>Extrusion</c:v>
                      </c:pt>
                      <c:pt idx="1">
                        <c:v>Printing</c:v>
                      </c:pt>
                      <c:pt idx="2">
                        <c:v>Rewinding</c:v>
                      </c:pt>
                      <c:pt idx="3">
                        <c:v>Lamination 1</c:v>
                      </c:pt>
                      <c:pt idx="4">
                        <c:v>Lamination 2</c:v>
                      </c:pt>
                      <c:pt idx="5">
                        <c:v>Lamination 3</c:v>
                      </c:pt>
                      <c:pt idx="6">
                        <c:v>Slitting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 Bag'!$F$91:$F$104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0.43920972644376899</c:v>
                      </c:pt>
                      <c:pt idx="1">
                        <c:v>0.10486322188449848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0.45592705167173253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16E-4F89-A991-B851AF174866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 Bag'!$B$111:$B$120</c15:sqref>
                        </c15:formulaRef>
                      </c:ext>
                    </c:extLst>
                    <c:strCache>
                      <c:ptCount val="7"/>
                      <c:pt idx="0">
                        <c:v>Extrusion</c:v>
                      </c:pt>
                      <c:pt idx="1">
                        <c:v>Printing</c:v>
                      </c:pt>
                      <c:pt idx="2">
                        <c:v>Rewinding</c:v>
                      </c:pt>
                      <c:pt idx="3">
                        <c:v>Lamination 1</c:v>
                      </c:pt>
                      <c:pt idx="4">
                        <c:v>Lamination 2</c:v>
                      </c:pt>
                      <c:pt idx="5">
                        <c:v>Lamination 3</c:v>
                      </c:pt>
                      <c:pt idx="6">
                        <c:v>Slitting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 Bag'!$E$91:$E$104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4"/>
                      <c:pt idx="0">
                        <c:v>2890</c:v>
                      </c:pt>
                      <c:pt idx="1">
                        <c:v>690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16E-4F89-A991-B851AF174866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 Bag'!$B$111:$B$120</c15:sqref>
                        </c15:formulaRef>
                      </c:ext>
                    </c:extLst>
                    <c:strCache>
                      <c:ptCount val="7"/>
                      <c:pt idx="0">
                        <c:v>Extrusion</c:v>
                      </c:pt>
                      <c:pt idx="1">
                        <c:v>Printing</c:v>
                      </c:pt>
                      <c:pt idx="2">
                        <c:v>Rewinding</c:v>
                      </c:pt>
                      <c:pt idx="3">
                        <c:v>Lamination 1</c:v>
                      </c:pt>
                      <c:pt idx="4">
                        <c:v>Lamination 2</c:v>
                      </c:pt>
                      <c:pt idx="5">
                        <c:v>Lamination 3</c:v>
                      </c:pt>
                      <c:pt idx="6">
                        <c:v>Slitting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 Bag'!$F$91:$F$104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0.43920972644376899</c:v>
                      </c:pt>
                      <c:pt idx="1">
                        <c:v>0.10486322188449848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0.45592705167173253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16E-4F89-A991-B851AF174866}"/>
                  </c:ext>
                </c:extLst>
              </c15:ser>
            </c15:filteredBarSeries>
          </c:ext>
        </c:extLst>
      </c:barChart>
      <c:catAx>
        <c:axId val="37720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03503"/>
        <c:crosses val="autoZero"/>
        <c:auto val="1"/>
        <c:lblAlgn val="ctr"/>
        <c:lblOffset val="100"/>
        <c:noMultiLvlLbl val="0"/>
      </c:catAx>
      <c:valAx>
        <c:axId val="37720350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3772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Raw Materials</a:t>
            </a:r>
          </a:p>
          <a:p>
            <a:pPr>
              <a:defRPr/>
            </a:pPr>
            <a:r>
              <a:rPr lang="en-US" sz="1600"/>
              <a:t>Cost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Roll!$B$91:$B$104</c15:sqref>
                  </c15:fullRef>
                </c:ext>
              </c:extLst>
              <c:f>(Roll!$B$91:$B$94,Roll!$B$96:$B$104)</c:f>
              <c:strCache>
                <c:ptCount val="13"/>
                <c:pt idx="0">
                  <c:v>PET Transparent</c:v>
                </c:pt>
                <c:pt idx="1">
                  <c:v>All Colors</c:v>
                </c:pt>
                <c:pt idx="2">
                  <c:v>Solvent Base</c:v>
                </c:pt>
                <c:pt idx="3">
                  <c:v>LDPE White</c:v>
                </c:pt>
                <c:pt idx="12">
                  <c:v>Solvent -Mix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Roll!$F$91:$F$104</c15:sqref>
                  </c15:fullRef>
                </c:ext>
              </c:extLst>
              <c:f>(Roll!$F$91:$F$94,Roll!$F$96:$F$104)</c:f>
              <c:numCache>
                <c:formatCode>0.0%</c:formatCode>
                <c:ptCount val="13"/>
                <c:pt idx="0">
                  <c:v>0.12819384920884286</c:v>
                </c:pt>
                <c:pt idx="1">
                  <c:v>3.468774743298101E-2</c:v>
                </c:pt>
                <c:pt idx="2">
                  <c:v>0.1018889740721656</c:v>
                </c:pt>
                <c:pt idx="3">
                  <c:v>0.58441313609913659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0.15081629318687395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1-44D7-A33A-90E4DEAFBB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7207343"/>
        <c:axId val="3772035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Roll!$B$91:$B$104</c15:sqref>
                        </c15:fullRef>
                        <c15:formulaRef>
                          <c15:sqref>(Roll!$B$91:$B$94,Roll!$B$96:$B$104)</c15:sqref>
                        </c15:formulaRef>
                      </c:ext>
                    </c:extLst>
                    <c:strCache>
                      <c:ptCount val="13"/>
                      <c:pt idx="0">
                        <c:v>PET Transparent</c:v>
                      </c:pt>
                      <c:pt idx="1">
                        <c:v>All Colors</c:v>
                      </c:pt>
                      <c:pt idx="2">
                        <c:v>Solvent Base</c:v>
                      </c:pt>
                      <c:pt idx="3">
                        <c:v>LDPE White</c:v>
                      </c:pt>
                      <c:pt idx="12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Roll!$F$91:$F$104</c15:sqref>
                        </c15:fullRef>
                        <c15:formulaRef>
                          <c15:sqref>(Roll!$F$91:$F$94,Roll!$F$96:$F$104)</c15:sqref>
                        </c15:formulaRef>
                      </c:ext>
                    </c:extLst>
                    <c:numCache>
                      <c:formatCode>0.0%</c:formatCode>
                      <c:ptCount val="13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0.1018889740721656</c:v>
                      </c:pt>
                      <c:pt idx="3">
                        <c:v>0.58441313609913659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0.15081629318687395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6D1-44D7-A33A-90E4DEAFBBD8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Roll!$B$91:$B$104</c15:sqref>
                        </c15:fullRef>
                        <c15:formulaRef>
                          <c15:sqref>(Roll!$B$91:$B$94,Roll!$B$96:$B$104)</c15:sqref>
                        </c15:formulaRef>
                      </c:ext>
                    </c:extLst>
                    <c:strCache>
                      <c:ptCount val="13"/>
                      <c:pt idx="0">
                        <c:v>PET Transparent</c:v>
                      </c:pt>
                      <c:pt idx="1">
                        <c:v>All Colors</c:v>
                      </c:pt>
                      <c:pt idx="2">
                        <c:v>Solvent Base</c:v>
                      </c:pt>
                      <c:pt idx="3">
                        <c:v>LDPE White</c:v>
                      </c:pt>
                      <c:pt idx="12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Roll!$E$91:$E$104</c15:sqref>
                        </c15:fullRef>
                        <c15:formulaRef>
                          <c15:sqref>(Roll!$E$91:$E$94,Roll!$E$96:$E$104)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3"/>
                      <c:pt idx="0">
                        <c:v>2550</c:v>
                      </c:pt>
                      <c:pt idx="1">
                        <c:v>690</c:v>
                      </c:pt>
                      <c:pt idx="2">
                        <c:v>2026.75</c:v>
                      </c:pt>
                      <c:pt idx="3">
                        <c:v>11625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6D1-44D7-A33A-90E4DEAFBBD8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Roll!$B$91:$B$104</c15:sqref>
                        </c15:fullRef>
                        <c15:formulaRef>
                          <c15:sqref>(Roll!$B$91:$B$94,Roll!$B$96:$B$104)</c15:sqref>
                        </c15:formulaRef>
                      </c:ext>
                    </c:extLst>
                    <c:strCache>
                      <c:ptCount val="13"/>
                      <c:pt idx="0">
                        <c:v>PET Transparent</c:v>
                      </c:pt>
                      <c:pt idx="1">
                        <c:v>All Colors</c:v>
                      </c:pt>
                      <c:pt idx="2">
                        <c:v>Solvent Base</c:v>
                      </c:pt>
                      <c:pt idx="3">
                        <c:v>LDPE White</c:v>
                      </c:pt>
                      <c:pt idx="12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Roll!$F$91:$F$104</c15:sqref>
                        </c15:fullRef>
                        <c15:formulaRef>
                          <c15:sqref>(Roll!$F$91:$F$94,Roll!$F$96:$F$104)</c15:sqref>
                        </c15:formulaRef>
                      </c:ext>
                    </c:extLst>
                    <c:numCache>
                      <c:formatCode>0.0%</c:formatCode>
                      <c:ptCount val="13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0.1018889740721656</c:v>
                      </c:pt>
                      <c:pt idx="3">
                        <c:v>0.58441313609913659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0.15081629318687395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6D1-44D7-A33A-90E4DEAFBBD8}"/>
                  </c:ext>
                </c:extLst>
              </c15:ser>
            </c15:filteredBarSeries>
          </c:ext>
        </c:extLst>
      </c:barChart>
      <c:catAx>
        <c:axId val="37720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03503"/>
        <c:crosses val="autoZero"/>
        <c:auto val="1"/>
        <c:lblAlgn val="ctr"/>
        <c:lblOffset val="100"/>
        <c:noMultiLvlLbl val="0"/>
      </c:catAx>
      <c:valAx>
        <c:axId val="37720350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3772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Operations</a:t>
            </a:r>
          </a:p>
          <a:p>
            <a:pPr>
              <a:defRPr/>
            </a:pPr>
            <a:r>
              <a:rPr lang="en-US" sz="1600"/>
              <a:t>Cost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Roll!$B$111:$B$120</c:f>
              <c:strCache>
                <c:ptCount val="7"/>
                <c:pt idx="0">
                  <c:v>Extrusion</c:v>
                </c:pt>
                <c:pt idx="1">
                  <c:v>Printing</c:v>
                </c:pt>
                <c:pt idx="2">
                  <c:v>Rewinding</c:v>
                </c:pt>
                <c:pt idx="3">
                  <c:v>Lamination 1</c:v>
                </c:pt>
                <c:pt idx="4">
                  <c:v>Lamination 2</c:v>
                </c:pt>
                <c:pt idx="5">
                  <c:v>Lamination 3</c:v>
                </c:pt>
                <c:pt idx="6">
                  <c:v>Slitting</c:v>
                </c:pt>
              </c:strCache>
            </c:strRef>
          </c:cat>
          <c:val>
            <c:numRef>
              <c:f>Roll!$F$111:$F$120</c:f>
              <c:numCache>
                <c:formatCode>0.0%</c:formatCode>
                <c:ptCount val="10"/>
                <c:pt idx="0">
                  <c:v>0.40414507772020725</c:v>
                </c:pt>
                <c:pt idx="1">
                  <c:v>0.21761658031088082</c:v>
                </c:pt>
                <c:pt idx="2">
                  <c:v>2.072538860103627E-2</c:v>
                </c:pt>
                <c:pt idx="3">
                  <c:v>0.10362694300518134</c:v>
                </c:pt>
                <c:pt idx="4">
                  <c:v>0.10362694300518134</c:v>
                </c:pt>
                <c:pt idx="5">
                  <c:v>0.10362694300518134</c:v>
                </c:pt>
                <c:pt idx="6">
                  <c:v>4.6632124352331605E-2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D-4FCB-A03C-726946F7EC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7207343"/>
        <c:axId val="3772035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Roll!$B$111:$B$120</c15:sqref>
                        </c15:formulaRef>
                      </c:ext>
                    </c:extLst>
                    <c:strCache>
                      <c:ptCount val="7"/>
                      <c:pt idx="0">
                        <c:v>Extrusion</c:v>
                      </c:pt>
                      <c:pt idx="1">
                        <c:v>Printing</c:v>
                      </c:pt>
                      <c:pt idx="2">
                        <c:v>Rewinding</c:v>
                      </c:pt>
                      <c:pt idx="3">
                        <c:v>Lamination 1</c:v>
                      </c:pt>
                      <c:pt idx="4">
                        <c:v>Lamination 2</c:v>
                      </c:pt>
                      <c:pt idx="5">
                        <c:v>Lamination 3</c:v>
                      </c:pt>
                      <c:pt idx="6">
                        <c:v>Slitting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Roll!$F$91:$F$104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0.1018889740721656</c:v>
                      </c:pt>
                      <c:pt idx="3">
                        <c:v>0.58441313609913659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0.15081629318687395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F3D-4FCB-A03C-726946F7EC9C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Roll!$B$111:$B$120</c15:sqref>
                        </c15:formulaRef>
                      </c:ext>
                    </c:extLst>
                    <c:strCache>
                      <c:ptCount val="7"/>
                      <c:pt idx="0">
                        <c:v>Extrusion</c:v>
                      </c:pt>
                      <c:pt idx="1">
                        <c:v>Printing</c:v>
                      </c:pt>
                      <c:pt idx="2">
                        <c:v>Rewinding</c:v>
                      </c:pt>
                      <c:pt idx="3">
                        <c:v>Lamination 1</c:v>
                      </c:pt>
                      <c:pt idx="4">
                        <c:v>Lamination 2</c:v>
                      </c:pt>
                      <c:pt idx="5">
                        <c:v>Lamination 3</c:v>
                      </c:pt>
                      <c:pt idx="6">
                        <c:v>Slitting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Roll!$E$91:$E$104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4"/>
                      <c:pt idx="0">
                        <c:v>2550</c:v>
                      </c:pt>
                      <c:pt idx="1">
                        <c:v>690</c:v>
                      </c:pt>
                      <c:pt idx="2">
                        <c:v>2026.75</c:v>
                      </c:pt>
                      <c:pt idx="3">
                        <c:v>11625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F3D-4FCB-A03C-726946F7EC9C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Roll!$B$111:$B$120</c15:sqref>
                        </c15:formulaRef>
                      </c:ext>
                    </c:extLst>
                    <c:strCache>
                      <c:ptCount val="7"/>
                      <c:pt idx="0">
                        <c:v>Extrusion</c:v>
                      </c:pt>
                      <c:pt idx="1">
                        <c:v>Printing</c:v>
                      </c:pt>
                      <c:pt idx="2">
                        <c:v>Rewinding</c:v>
                      </c:pt>
                      <c:pt idx="3">
                        <c:v>Lamination 1</c:v>
                      </c:pt>
                      <c:pt idx="4">
                        <c:v>Lamination 2</c:v>
                      </c:pt>
                      <c:pt idx="5">
                        <c:v>Lamination 3</c:v>
                      </c:pt>
                      <c:pt idx="6">
                        <c:v>Slitting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Roll!$F$91:$F$104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0.1018889740721656</c:v>
                      </c:pt>
                      <c:pt idx="3">
                        <c:v>0.58441313609913659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0.15081629318687395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F3D-4FCB-A03C-726946F7EC9C}"/>
                  </c:ext>
                </c:extLst>
              </c15:ser>
            </c15:filteredBarSeries>
          </c:ext>
        </c:extLst>
      </c:barChart>
      <c:catAx>
        <c:axId val="37720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03503"/>
        <c:crosses val="autoZero"/>
        <c:auto val="1"/>
        <c:lblAlgn val="ctr"/>
        <c:lblOffset val="100"/>
        <c:noMultiLvlLbl val="0"/>
      </c:catAx>
      <c:valAx>
        <c:axId val="37720350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3772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Raw Materials</a:t>
            </a:r>
          </a:p>
          <a:p>
            <a:pPr>
              <a:defRPr/>
            </a:pPr>
            <a:r>
              <a:rPr lang="en-US" sz="1600"/>
              <a:t>Cost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Sleeve!$B$91:$B$104</c15:sqref>
                  </c15:fullRef>
                </c:ext>
              </c:extLst>
              <c:f>(Sleeve!$B$91:$B$92,Sleeve!$B$96:$B$104)</c:f>
              <c:strCache>
                <c:ptCount val="11"/>
                <c:pt idx="0">
                  <c:v>BOPP Transparent</c:v>
                </c:pt>
                <c:pt idx="1">
                  <c:v>All Colors</c:v>
                </c:pt>
                <c:pt idx="10">
                  <c:v>Solvent -Mix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Sleeve!$F$91:$F$104</c15:sqref>
                  </c15:fullRef>
                </c:ext>
              </c:extLst>
              <c:f>(Sleeve!$F$91:$F$92,Sleeve!$F$96:$F$104)</c:f>
              <c:numCache>
                <c:formatCode>0.0%</c:formatCode>
                <c:ptCount val="11"/>
                <c:pt idx="0">
                  <c:v>0.10336164612991984</c:v>
                </c:pt>
                <c:pt idx="1">
                  <c:v>0.88048809666228023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1.6150257207799976E-2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E-4A1C-8215-CCDB9AF3BF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7207343"/>
        <c:axId val="3772035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Sleeve!$B$91:$B$104</c15:sqref>
                        </c15:fullRef>
                        <c15:formulaRef>
                          <c15:sqref>(Sleeve!$B$91:$B$92,Sleeve!$B$96:$B$104)</c15:sqref>
                        </c15:formulaRef>
                      </c:ext>
                    </c:extLst>
                    <c:strCache>
                      <c:ptCount val="11"/>
                      <c:pt idx="0">
                        <c:v>BOPP Transparent</c:v>
                      </c:pt>
                      <c:pt idx="1">
                        <c:v>All Colors</c:v>
                      </c:pt>
                      <c:pt idx="10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Roll!$F$91:$F$104</c15:sqref>
                        </c15:fullRef>
                        <c15:formulaRef>
                          <c15:sqref>(Roll!$F$91:$F$92,Roll!$F$96:$F$104)</c15:sqref>
                        </c15:formulaRef>
                      </c:ext>
                    </c:extLst>
                    <c:numCache>
                      <c:formatCode>0.0%</c:formatCode>
                      <c:ptCount val="11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0.15081629318687395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D4E-4A1C-8215-CCDB9AF3BF28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Sleeve!$B$91:$B$104</c15:sqref>
                        </c15:fullRef>
                        <c15:formulaRef>
                          <c15:sqref>(Sleeve!$B$91:$B$92,Sleeve!$B$96:$B$104)</c15:sqref>
                        </c15:formulaRef>
                      </c:ext>
                    </c:extLst>
                    <c:strCache>
                      <c:ptCount val="11"/>
                      <c:pt idx="0">
                        <c:v>BOPP Transparent</c:v>
                      </c:pt>
                      <c:pt idx="1">
                        <c:v>All Colors</c:v>
                      </c:pt>
                      <c:pt idx="10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Roll!$E$91:$E$104</c15:sqref>
                        </c15:fullRef>
                        <c15:formulaRef>
                          <c15:sqref>(Roll!$E$91:$E$92,Roll!$E$96:$E$104)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1"/>
                      <c:pt idx="0">
                        <c:v>2550</c:v>
                      </c:pt>
                      <c:pt idx="1">
                        <c:v>690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D4E-4A1C-8215-CCDB9AF3BF28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Sleeve!$B$91:$B$104</c15:sqref>
                        </c15:fullRef>
                        <c15:formulaRef>
                          <c15:sqref>(Sleeve!$B$91:$B$92,Sleeve!$B$96:$B$104)</c15:sqref>
                        </c15:formulaRef>
                      </c:ext>
                    </c:extLst>
                    <c:strCache>
                      <c:ptCount val="11"/>
                      <c:pt idx="0">
                        <c:v>BOPP Transparent</c:v>
                      </c:pt>
                      <c:pt idx="1">
                        <c:v>All Colors</c:v>
                      </c:pt>
                      <c:pt idx="10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Roll!$F$91:$F$104</c15:sqref>
                        </c15:fullRef>
                        <c15:formulaRef>
                          <c15:sqref>(Roll!$F$91:$F$92,Roll!$F$96:$F$104)</c15:sqref>
                        </c15:formulaRef>
                      </c:ext>
                    </c:extLst>
                    <c:numCache>
                      <c:formatCode>0.0%</c:formatCode>
                      <c:ptCount val="11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0.15081629318687395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D4E-4A1C-8215-CCDB9AF3BF28}"/>
                  </c:ext>
                </c:extLst>
              </c15:ser>
            </c15:filteredBarSeries>
          </c:ext>
        </c:extLst>
      </c:barChart>
      <c:catAx>
        <c:axId val="37720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03503"/>
        <c:crosses val="autoZero"/>
        <c:auto val="1"/>
        <c:lblAlgn val="ctr"/>
        <c:lblOffset val="100"/>
        <c:noMultiLvlLbl val="0"/>
      </c:catAx>
      <c:valAx>
        <c:axId val="37720350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3772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Operations</a:t>
            </a:r>
          </a:p>
          <a:p>
            <a:pPr>
              <a:defRPr/>
            </a:pPr>
            <a:r>
              <a:rPr lang="en-US" sz="1600"/>
              <a:t>Cost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Sleeve!$B$111:$B$120</c:f>
              <c:strCache>
                <c:ptCount val="9"/>
                <c:pt idx="1">
                  <c:v>Printing</c:v>
                </c:pt>
                <c:pt idx="6">
                  <c:v>Slitting</c:v>
                </c:pt>
                <c:pt idx="7">
                  <c:v>Sleeving</c:v>
                </c:pt>
                <c:pt idx="8">
                  <c:v>Doctoring</c:v>
                </c:pt>
              </c:strCache>
            </c:strRef>
          </c:cat>
          <c:val>
            <c:numRef>
              <c:f>Sleeve!$F$111:$F$120</c:f>
              <c:numCache>
                <c:formatCode>0.0%</c:formatCode>
                <c:ptCount val="10"/>
                <c:pt idx="0">
                  <c:v>0</c:v>
                </c:pt>
                <c:pt idx="1">
                  <c:v>0.61224489795918369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4.0816326530612242E-2</c:v>
                </c:pt>
                <c:pt idx="7">
                  <c:v>0.16326530612244897</c:v>
                </c:pt>
                <c:pt idx="8">
                  <c:v>0.18367346938775511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9-4C4C-BAD4-059F1193CF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7207343"/>
        <c:axId val="3772035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Sleeve!$B$111:$B$120</c15:sqref>
                        </c15:formulaRef>
                      </c:ext>
                    </c:extLst>
                    <c:strCache>
                      <c:ptCount val="9"/>
                      <c:pt idx="1">
                        <c:v>Printing</c:v>
                      </c:pt>
                      <c:pt idx="6">
                        <c:v>Slitting</c:v>
                      </c:pt>
                      <c:pt idx="7">
                        <c:v>Sleeving</c:v>
                      </c:pt>
                      <c:pt idx="8">
                        <c:v>Doctoring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Roll!$F$91:$F$104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0.1018889740721656</c:v>
                      </c:pt>
                      <c:pt idx="3">
                        <c:v>0.58441313609913659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0.15081629318687395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A39-4C4C-BAD4-059F1193CFC7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Sleeve!$B$111:$B$120</c15:sqref>
                        </c15:formulaRef>
                      </c:ext>
                    </c:extLst>
                    <c:strCache>
                      <c:ptCount val="9"/>
                      <c:pt idx="1">
                        <c:v>Printing</c:v>
                      </c:pt>
                      <c:pt idx="6">
                        <c:v>Slitting</c:v>
                      </c:pt>
                      <c:pt idx="7">
                        <c:v>Sleeving</c:v>
                      </c:pt>
                      <c:pt idx="8">
                        <c:v>Doctoring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Roll!$E$91:$E$104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4"/>
                      <c:pt idx="0">
                        <c:v>2550</c:v>
                      </c:pt>
                      <c:pt idx="1">
                        <c:v>690</c:v>
                      </c:pt>
                      <c:pt idx="2">
                        <c:v>2026.75</c:v>
                      </c:pt>
                      <c:pt idx="3">
                        <c:v>11625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A39-4C4C-BAD4-059F1193CFC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Sleeve!$B$111:$B$120</c15:sqref>
                        </c15:formulaRef>
                      </c:ext>
                    </c:extLst>
                    <c:strCache>
                      <c:ptCount val="9"/>
                      <c:pt idx="1">
                        <c:v>Printing</c:v>
                      </c:pt>
                      <c:pt idx="6">
                        <c:v>Slitting</c:v>
                      </c:pt>
                      <c:pt idx="7">
                        <c:v>Sleeving</c:v>
                      </c:pt>
                      <c:pt idx="8">
                        <c:v>Doctoring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Roll!$F$91:$F$104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0.1018889740721656</c:v>
                      </c:pt>
                      <c:pt idx="3">
                        <c:v>0.58441313609913659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0.15081629318687395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A39-4C4C-BAD4-059F1193CFC7}"/>
                  </c:ext>
                </c:extLst>
              </c15:ser>
            </c15:filteredBarSeries>
          </c:ext>
        </c:extLst>
      </c:barChart>
      <c:catAx>
        <c:axId val="37720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03503"/>
        <c:crosses val="autoZero"/>
        <c:auto val="1"/>
        <c:lblAlgn val="ctr"/>
        <c:lblOffset val="100"/>
        <c:noMultiLvlLbl val="0"/>
      </c:catAx>
      <c:valAx>
        <c:axId val="37720350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3772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Raw Materials</a:t>
            </a:r>
          </a:p>
          <a:p>
            <a:pPr>
              <a:defRPr/>
            </a:pPr>
            <a:r>
              <a:rPr lang="en-US" sz="1600"/>
              <a:t>Cost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Pouch!$B$91:$B$104</c15:sqref>
                  </c15:fullRef>
                </c:ext>
              </c:extLst>
              <c:f>(Pouch!$B$91:$B$92,Pouch!$B$96:$B$104)</c:f>
              <c:strCache>
                <c:ptCount val="11"/>
                <c:pt idx="0">
                  <c:v>PET Transparent</c:v>
                </c:pt>
                <c:pt idx="1">
                  <c:v>All Colors</c:v>
                </c:pt>
                <c:pt idx="2">
                  <c:v>LDPE Transparent</c:v>
                </c:pt>
                <c:pt idx="3">
                  <c:v>Solvent Less</c:v>
                </c:pt>
                <c:pt idx="4">
                  <c:v>LDPE Transparent</c:v>
                </c:pt>
                <c:pt idx="10">
                  <c:v>Solvent -Mix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Pouch!$F$91:$F$104</c15:sqref>
                  </c15:fullRef>
                </c:ext>
              </c:extLst>
              <c:f>(Pouch!$F$91:$F$92,Pouch!$F$96:$F$104)</c:f>
              <c:numCache>
                <c:formatCode>0.0%</c:formatCode>
                <c:ptCount val="11"/>
                <c:pt idx="0">
                  <c:v>7.4708171206225679E-2</c:v>
                </c:pt>
                <c:pt idx="1">
                  <c:v>0.10023346303501944</c:v>
                </c:pt>
                <c:pt idx="2">
                  <c:v>0.29883268482490272</c:v>
                </c:pt>
                <c:pt idx="3">
                  <c:v>3.9844357976653699E-2</c:v>
                </c:pt>
                <c:pt idx="4">
                  <c:v>9.3385214007782102E-2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7.0038910505836577E-2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8-4575-B76D-083518C801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7207343"/>
        <c:axId val="3772035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Pouch!$B$91:$B$104</c15:sqref>
                        </c15:fullRef>
                        <c15:formulaRef>
                          <c15:sqref>(Pouch!$B$91:$B$92,Pouch!$B$96:$B$104)</c15:sqref>
                        </c15:formulaRef>
                      </c:ext>
                    </c:extLst>
                    <c:strCache>
                      <c:ptCount val="11"/>
                      <c:pt idx="0">
                        <c:v>PET Transparent</c:v>
                      </c:pt>
                      <c:pt idx="1">
                        <c:v>All Colors</c:v>
                      </c:pt>
                      <c:pt idx="2">
                        <c:v>LDPE Transparent</c:v>
                      </c:pt>
                      <c:pt idx="3">
                        <c:v>Solvent Less</c:v>
                      </c:pt>
                      <c:pt idx="4">
                        <c:v>LDPE Transparent</c:v>
                      </c:pt>
                      <c:pt idx="10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Roll!$F$91:$F$104</c15:sqref>
                        </c15:fullRef>
                        <c15:formulaRef>
                          <c15:sqref>(Roll!$F$91:$F$92,Roll!$F$96:$F$104)</c15:sqref>
                        </c15:formulaRef>
                      </c:ext>
                    </c:extLst>
                    <c:numCache>
                      <c:formatCode>0.0%</c:formatCode>
                      <c:ptCount val="11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0.15081629318687395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CE8-4575-B76D-083518C801C7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Pouch!$B$91:$B$104</c15:sqref>
                        </c15:fullRef>
                        <c15:formulaRef>
                          <c15:sqref>(Pouch!$B$91:$B$92,Pouch!$B$96:$B$104)</c15:sqref>
                        </c15:formulaRef>
                      </c:ext>
                    </c:extLst>
                    <c:strCache>
                      <c:ptCount val="11"/>
                      <c:pt idx="0">
                        <c:v>PET Transparent</c:v>
                      </c:pt>
                      <c:pt idx="1">
                        <c:v>All Colors</c:v>
                      </c:pt>
                      <c:pt idx="2">
                        <c:v>LDPE Transparent</c:v>
                      </c:pt>
                      <c:pt idx="3">
                        <c:v>Solvent Less</c:v>
                      </c:pt>
                      <c:pt idx="4">
                        <c:v>LDPE Transparent</c:v>
                      </c:pt>
                      <c:pt idx="10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Roll!$E$91:$E$104</c15:sqref>
                        </c15:fullRef>
                        <c15:formulaRef>
                          <c15:sqref>(Roll!$E$91:$E$92,Roll!$E$96:$E$104)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1"/>
                      <c:pt idx="0">
                        <c:v>2550</c:v>
                      </c:pt>
                      <c:pt idx="1">
                        <c:v>690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CE8-4575-B76D-083518C801C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Pouch!$B$91:$B$104</c15:sqref>
                        </c15:fullRef>
                        <c15:formulaRef>
                          <c15:sqref>(Pouch!$B$91:$B$92,Pouch!$B$96:$B$104)</c15:sqref>
                        </c15:formulaRef>
                      </c:ext>
                    </c:extLst>
                    <c:strCache>
                      <c:ptCount val="11"/>
                      <c:pt idx="0">
                        <c:v>PET Transparent</c:v>
                      </c:pt>
                      <c:pt idx="1">
                        <c:v>All Colors</c:v>
                      </c:pt>
                      <c:pt idx="2">
                        <c:v>LDPE Transparent</c:v>
                      </c:pt>
                      <c:pt idx="3">
                        <c:v>Solvent Less</c:v>
                      </c:pt>
                      <c:pt idx="4">
                        <c:v>LDPE Transparent</c:v>
                      </c:pt>
                      <c:pt idx="10">
                        <c:v>Solvent -Mix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Roll!$F$91:$F$104</c15:sqref>
                        </c15:fullRef>
                        <c15:formulaRef>
                          <c15:sqref>(Roll!$F$91:$F$92,Roll!$F$96:$F$104)</c15:sqref>
                        </c15:formulaRef>
                      </c:ext>
                    </c:extLst>
                    <c:numCache>
                      <c:formatCode>0.0%</c:formatCode>
                      <c:ptCount val="11"/>
                      <c:pt idx="0">
                        <c:v>0.12819384920884286</c:v>
                      </c:pt>
                      <c:pt idx="1">
                        <c:v>3.468774743298101E-2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0.15081629318687395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CE8-4575-B76D-083518C801C7}"/>
                  </c:ext>
                </c:extLst>
              </c15:ser>
            </c15:filteredBarSeries>
          </c:ext>
        </c:extLst>
      </c:barChart>
      <c:catAx>
        <c:axId val="37720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03503"/>
        <c:crosses val="autoZero"/>
        <c:auto val="1"/>
        <c:lblAlgn val="ctr"/>
        <c:lblOffset val="100"/>
        <c:noMultiLvlLbl val="0"/>
      </c:catAx>
      <c:valAx>
        <c:axId val="37720350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3772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89</xdr:row>
      <xdr:rowOff>63102</xdr:rowOff>
    </xdr:from>
    <xdr:to>
      <xdr:col>12</xdr:col>
      <xdr:colOff>1047750</xdr:colOff>
      <xdr:row>106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A16D9-EE09-4BC2-B21A-0F58E3FFD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109</xdr:row>
      <xdr:rowOff>1</xdr:rowOff>
    </xdr:from>
    <xdr:to>
      <xdr:col>12</xdr:col>
      <xdr:colOff>1023939</xdr:colOff>
      <xdr:row>123</xdr:row>
      <xdr:rowOff>11906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B5131C-AB23-4301-AA30-C8BCFD781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99</xdr:row>
      <xdr:rowOff>45267</xdr:rowOff>
    </xdr:from>
    <xdr:to>
      <xdr:col>22</xdr:col>
      <xdr:colOff>484941</xdr:colOff>
      <xdr:row>119</xdr:row>
      <xdr:rowOff>47973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79188D-4465-442A-A00E-1F8847E28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86560" y="19407687"/>
          <a:ext cx="8097321" cy="3866046"/>
        </a:xfrm>
        <a:prstGeom prst="rect">
          <a:avLst/>
        </a:prstGeom>
        <a:solidFill>
          <a:schemeClr val="lt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89</xdr:row>
      <xdr:rowOff>63102</xdr:rowOff>
    </xdr:from>
    <xdr:to>
      <xdr:col>12</xdr:col>
      <xdr:colOff>1047750</xdr:colOff>
      <xdr:row>106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5E7381-DAA0-247C-4697-6AA6E66E5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109</xdr:row>
      <xdr:rowOff>1</xdr:rowOff>
    </xdr:from>
    <xdr:to>
      <xdr:col>12</xdr:col>
      <xdr:colOff>1023939</xdr:colOff>
      <xdr:row>123</xdr:row>
      <xdr:rowOff>11906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38A2A1-D0FF-45DD-B826-61F73F0D0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99</xdr:row>
      <xdr:rowOff>45267</xdr:rowOff>
    </xdr:from>
    <xdr:to>
      <xdr:col>22</xdr:col>
      <xdr:colOff>484941</xdr:colOff>
      <xdr:row>119</xdr:row>
      <xdr:rowOff>47973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AC0A4C-3317-7A2A-F9A9-5531D8AD6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08594" y="19589436"/>
          <a:ext cx="7535327" cy="3839111"/>
        </a:xfrm>
        <a:prstGeom prst="rect">
          <a:avLst/>
        </a:prstGeom>
        <a:solidFill>
          <a:schemeClr val="lt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697117</xdr:colOff>
      <xdr:row>89</xdr:row>
      <xdr:rowOff>81481</xdr:rowOff>
    </xdr:from>
    <xdr:to>
      <xdr:col>13</xdr:col>
      <xdr:colOff>64272</xdr:colOff>
      <xdr:row>106</xdr:row>
      <xdr:rowOff>161253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9F4F2-CFA2-40CC-9768-5457E594F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109</xdr:row>
      <xdr:rowOff>0</xdr:rowOff>
    </xdr:from>
    <xdr:to>
      <xdr:col>13</xdr:col>
      <xdr:colOff>73326</xdr:colOff>
      <xdr:row>123</xdr:row>
      <xdr:rowOff>11905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82442A-DD30-43B7-A36B-EDB938B1C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89</xdr:row>
      <xdr:rowOff>0</xdr:rowOff>
    </xdr:from>
    <xdr:to>
      <xdr:col>13</xdr:col>
      <xdr:colOff>73325</xdr:colOff>
      <xdr:row>106</xdr:row>
      <xdr:rowOff>79771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A3D4CA-5AD5-4DCE-94FF-242C219CB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B877EA-E9A3-4BD1-A492-C45A063DDEDE}" name="table1713" displayName="table1713" ref="A24:K30" totalsRowShown="0" headerRowDxfId="87" dataDxfId="85" headerRowBorderDxfId="86" tableBorderDxfId="84">
  <tableColumns count="11">
    <tableColumn id="1" xr3:uid="{F62923DA-268D-4C05-A3FD-5B6724B9C52C}" name="Type" dataDxfId="83"/>
    <tableColumn id="2" xr3:uid="{EB94C18A-53C7-49B4-9951-B0D45387F534}" name="Material" dataDxfId="82"/>
    <tableColumn id="3" xr3:uid="{742DCF28-FF0E-4DEB-9692-48856C57FDDF}" name="Solid_x000a_%" dataDxfId="81" dataCellStyle="Percent">
      <calculatedColumnFormula>VLOOKUP(B25,Material[],3,FALSE)</calculatedColumnFormula>
    </tableColumn>
    <tableColumn id="4" xr3:uid="{BB064559-D4BA-4F16-8EC1-30E2B240321C}" name="Micron" dataDxfId="80"/>
    <tableColumn id="5" xr3:uid="{304CED41-D1B2-4094-B75A-C9F02E2BBC34}" name="Density" dataDxfId="79">
      <calculatedColumnFormula>VLOOKUP(B25,Material[],2,FALSE)</calculatedColumnFormula>
    </tableColumn>
    <tableColumn id="6" xr3:uid="{3703A15F-9D1D-4E2C-ABDC-02144AEBEB95}" name="Total GSM" dataDxfId="78">
      <calculatedColumnFormula>IF(A25="Substrate",D25*E25,C25*D25)</calculatedColumnFormula>
    </tableColumn>
    <tableColumn id="7" xr3:uid="{BC31FE8B-DCB1-4E2C-8E3E-C33A9BE69C66}" name="Cost Per Kg" dataDxfId="77">
      <calculatedColumnFormula>VLOOKUP(B25,Material[],4,FALSE)</calculatedColumnFormula>
    </tableColumn>
    <tableColumn id="8" xr3:uid="{F0C08983-AA5A-4AB5-9E4B-3B623409C8D0}" name="Waste_x000a_%" dataDxfId="76" dataCellStyle="Percent"/>
    <tableColumn id="9" xr3:uid="{7B582428-6E7D-4270-972B-EC6937A949FF}" name="Cost / M²" dataDxfId="75">
      <calculatedColumnFormula>(IF(A25="Substrate",(F25*G25)/1000,(D25*G25)/1000))*(1+table1713[[#This Row],[Waste
%]])</calculatedColumnFormula>
    </tableColumn>
    <tableColumn id="10" xr3:uid="{5B1A4906-CAF6-4DBE-A9F3-96C66D941FC4}" name="Est._x000a_Required Kgs" dataDxfId="74">
      <calculatedColumnFormula>IF(A25="Substrate",(($I$36*F25)/$B$37)*(1+H25),(($I$36*D25)/$B$37)*(1+H25))</calculatedColumnFormula>
    </tableColumn>
    <tableColumn id="11" xr3:uid="{278FA076-FBD1-45DE-85C5-F02299C9C71A}" name="Layer %" dataDxfId="73">
      <calculatedColumnFormula>table1713[[#This Row],[Total GSM]]/$B$37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190CAB3-23AB-4480-A7AB-E53E1B4A3389}" name="Table11" displayName="Table11" ref="A1:F46" totalsRowShown="0" headerRowDxfId="72" dataDxfId="70" headerRowBorderDxfId="71" tableBorderDxfId="69" totalsRowBorderDxfId="68" headerRowCellStyle="Normal 2" dataCellStyle="Normal 2">
  <autoFilter ref="A1:F46" xr:uid="{D190CAB3-23AB-4480-A7AB-E53E1B4A3389}"/>
  <tableColumns count="6">
    <tableColumn id="1" xr3:uid="{3B982C09-5FFF-4749-A77B-1A3F304690CC}" name="Substrate Family" dataDxfId="67" dataCellStyle="Normal 2"/>
    <tableColumn id="2" xr3:uid="{F17B36C7-B44A-44E3-87F2-2C18A83E9178}" name="Substrate Grade" dataDxfId="66" dataCellStyle="Normal 2"/>
    <tableColumn id="3" xr3:uid="{625C4FD8-DA79-4673-AA78-B61A17304DF3}" name="Density (g/cm3)" dataDxfId="65" dataCellStyle="Normal 2"/>
    <tableColumn id="4" xr3:uid="{9EE73D4B-D438-4F05-8A77-7CA02A1A151B}" name="Hoover" dataDxfId="64" dataCellStyle="Normal 2"/>
    <tableColumn id="5" xr3:uid="{FB283264-0925-4473-A7EF-E54984885832}" name="User Price" dataDxfId="63" dataCellStyle="Normal 2"/>
    <tableColumn id="6" xr3:uid="{CB02BE89-6280-4DC3-B6D5-7502235403B8}" name="Market Price " dataDxfId="62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D7FA48-1106-422A-B624-C4BF4F79E45E}" name="table17" displayName="table17" ref="A24:K30" totalsRowShown="0" headerRowDxfId="61" dataDxfId="59" headerRowBorderDxfId="60" tableBorderDxfId="58">
  <tableColumns count="11">
    <tableColumn id="1" xr3:uid="{96576271-5AB6-4D1F-A650-9AFB007DB6B2}" name="Type" dataDxfId="57"/>
    <tableColumn id="2" xr3:uid="{D5E0E192-5AD5-4727-9F12-EAD3A3982878}" name="Material" dataDxfId="56"/>
    <tableColumn id="3" xr3:uid="{0DB7A82F-E4FA-413B-A42B-A42EA7407217}" name="Solid_x000a_%" dataDxfId="55" dataCellStyle="Percent">
      <calculatedColumnFormula>VLOOKUP(B25,Material[],3,FALSE)</calculatedColumnFormula>
    </tableColumn>
    <tableColumn id="4" xr3:uid="{229B6022-DBB2-4CCF-A1DD-CAC6A675883F}" name="Micron" dataDxfId="54"/>
    <tableColumn id="5" xr3:uid="{ECD14A31-499F-4FEA-AB58-37B0A4874C9A}" name="Density" dataDxfId="53">
      <calculatedColumnFormula>VLOOKUP(B25,Material[],2,FALSE)</calculatedColumnFormula>
    </tableColumn>
    <tableColumn id="6" xr3:uid="{DAE41353-B150-4A08-BB72-00C15FCE5305}" name="Total GSM" dataDxfId="52">
      <calculatedColumnFormula>IF(A25="Substrate",D25*E25,C25*D25)</calculatedColumnFormula>
    </tableColumn>
    <tableColumn id="7" xr3:uid="{2D2E4074-B605-494F-B5C2-626AD0F02E8D}" name="Cost Per Kg" dataDxfId="51">
      <calculatedColumnFormula>VLOOKUP(B25,Material[],4,FALSE)</calculatedColumnFormula>
    </tableColumn>
    <tableColumn id="8" xr3:uid="{BF124759-5704-403F-A548-F9852A5E0F80}" name="Waste_x000a_%" dataDxfId="50" dataCellStyle="Percent"/>
    <tableColumn id="9" xr3:uid="{DE2AE453-E261-446C-84FD-C8FABCC2AE41}" name="Cost / M²" dataDxfId="49">
      <calculatedColumnFormula>(IF(A25="Substrate",(F25*G25)/1000,(D25*G25)/1000))*(1+table17[[#This Row],[Waste
%]])</calculatedColumnFormula>
    </tableColumn>
    <tableColumn id="10" xr3:uid="{22A61F1D-96F0-477F-984A-8988FEDF16FF}" name="Est._x000a_Required Kgs" dataDxfId="48">
      <calculatedColumnFormula>IF(A25="Substrate",(($I$36*F25)/$B$37)*(1+H25),(($I$36*D25)/$B$37)*(1+H25))</calculatedColumnFormula>
    </tableColumn>
    <tableColumn id="11" xr3:uid="{7729127E-5092-4133-A3D4-F264CCBA79B7}" name="Layer %" dataDxfId="47">
      <calculatedColumnFormula>table17[[#This Row],[Total GSM]]/$B$37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835BF-F846-4004-BCD7-070D9DCCAD90}" name="Material" displayName="Material" ref="D1:G33" totalsRowShown="0">
  <autoFilter ref="D1:G33" xr:uid="{837835BF-F846-4004-BCD7-070D9DCCAD90}"/>
  <tableColumns count="4">
    <tableColumn id="2" xr3:uid="{9E3142C9-50FA-4916-9CEF-822169826878}" name="Material"/>
    <tableColumn id="3" xr3:uid="{32A96633-FC6A-40F7-974B-25881602DB09}" name="Density" dataDxfId="46"/>
    <tableColumn id="4" xr3:uid="{705696B6-E241-4CE0-AFE1-37043FC331F9}" name="Solid" dataCellStyle="Percent"/>
    <tableColumn id="1" xr3:uid="{69EE0737-5119-452D-80EC-62F1CE8D7933}" name="Cost Per Kg" dataDxfId="4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EB8540-85B3-4847-8F20-81840BD67A79}" name="T" displayName="T" ref="P1:P5" totalsRowShown="0" headerRowDxfId="44">
  <autoFilter ref="P1:P5" xr:uid="{ACEB8540-85B3-4847-8F20-81840BD67A79}"/>
  <tableColumns count="1">
    <tableColumn id="1" xr3:uid="{128D7DDA-5198-45F5-9AC3-6316B0FAB04C}" name="Material Typ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46735D-3E62-4411-9491-B2CB027FCCD7}" name="Table3" displayName="Table3" ref="Q1:Q18" totalsRowShown="0" headerRowDxfId="43" dataDxfId="42">
  <autoFilter ref="Q1:Q18" xr:uid="{5B46735D-3E62-4411-9491-B2CB027FCCD7}"/>
  <tableColumns count="1">
    <tableColumn id="1" xr3:uid="{9E980FBC-6C44-4579-9F83-F013225FDE31}" name="Substrate" dataDxfId="41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F0352D-76C9-4FE0-B368-CC02D4B9A4DD}" name="Table4" displayName="Table4" ref="R1:R9" totalsRowShown="0" headerRowDxfId="40" dataDxfId="39">
  <autoFilter ref="R1:R9" xr:uid="{18F0352D-76C9-4FE0-B368-CC02D4B9A4DD}"/>
  <tableColumns count="1">
    <tableColumn id="1" xr3:uid="{6C1C3C3D-7FBA-4671-9A3E-6181E3719E8D}" name="Ink" dataDxfId="38"/>
  </tableColumns>
  <tableStyleInfo name="TableStyleLight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A7022A-2C20-43C3-AA8D-7A4D11FC446B}" name="A" displayName="A" ref="S1:T4" totalsRowShown="0" headerRowDxfId="37" dataDxfId="36">
  <autoFilter ref="S1:T4" xr:uid="{A0A7022A-2C20-43C3-AA8D-7A4D11FC446B}"/>
  <tableColumns count="2">
    <tableColumn id="1" xr3:uid="{012E7603-7A8C-46AD-914C-FAE7D12FAF3F}" name="Adhesive" dataDxfId="35"/>
    <tableColumn id="2" xr3:uid="{4325B70E-CBBC-4618-9B76-FCD61F8B754A}" name="Packaging" dataDxfId="34"/>
  </tableColumns>
  <tableStyleInfo name="TableStyleLight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9E0A2B-7D76-401E-A524-0A36C49CE947}" name="PTypeT" displayName="PTypeT" ref="K1:K4" totalsRowShown="0" headerRowDxfId="33" tableBorderDxfId="32">
  <autoFilter ref="K1:K4" xr:uid="{679E0A2B-7D76-401E-A524-0A36C49CE947}"/>
  <tableColumns count="1">
    <tableColumn id="1" xr3:uid="{15A59F61-F80E-4915-8496-D6FC380FA80A}" name="Product Typ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CB9144-FE8F-4434-B61E-D494EC9E3ABC}" name="UT" displayName="UT" ref="M1:M6" totalsRowShown="0" dataDxfId="31">
  <autoFilter ref="M1:M6" xr:uid="{0ACB9144-FE8F-4434-B61E-D494EC9E3ABC}"/>
  <tableColumns count="1">
    <tableColumn id="1" xr3:uid="{031412D9-180B-4257-B711-44F88C9C965F}" name="Units" dataDxfId="30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1F89DFF-92E0-4FAB-9769-7CF6CF9FC96F}" name="table1" displayName="table1" ref="A24:K30" totalsRowShown="0" headerRowDxfId="29" dataDxfId="27" headerRowBorderDxfId="28" tableBorderDxfId="26">
  <tableColumns count="11">
    <tableColumn id="1" xr3:uid="{50FE5CD8-8F96-4285-BA9D-268C0CAD731A}" name="Type" dataDxfId="25"/>
    <tableColumn id="2" xr3:uid="{CDABA659-5E06-4320-B16B-D8FC50A5EC4C}" name="Material" dataDxfId="24"/>
    <tableColumn id="3" xr3:uid="{F30B7E1A-8EC0-487D-B51E-A83F6C0A7696}" name="Solid_x000a_%" dataDxfId="23" dataCellStyle="Percent">
      <calculatedColumnFormula>VLOOKUP(B25,Material[],3,FALSE)</calculatedColumnFormula>
    </tableColumn>
    <tableColumn id="4" xr3:uid="{EC6EB5B0-8D3E-431C-A41E-451AEDDF1CAB}" name="Micron" dataDxfId="22"/>
    <tableColumn id="5" xr3:uid="{0E9EC9A2-097B-4038-90CC-10ACAA2D37C8}" name="Density" dataDxfId="21">
      <calculatedColumnFormula>VLOOKUP(B25,Material[],2,FALSE)</calculatedColumnFormula>
    </tableColumn>
    <tableColumn id="6" xr3:uid="{6DE0F403-F045-4CB7-A93C-BBBB4C2CC36C}" name="Total GSM" dataDxfId="20">
      <calculatedColumnFormula>IF(A25="Substrate",D25*E25,C25*D25)</calculatedColumnFormula>
    </tableColumn>
    <tableColumn id="7" xr3:uid="{6CFF6209-352B-43CE-920D-DA966F28BBF4}" name="Cost Per Kg" dataDxfId="19">
      <calculatedColumnFormula>VLOOKUP(B25,Material[],4,FALSE)</calculatedColumnFormula>
    </tableColumn>
    <tableColumn id="8" xr3:uid="{6570658D-E7B6-433E-BD7F-58AB4E45B978}" name="Waste_x000a_%" dataDxfId="18" dataCellStyle="Percent"/>
    <tableColumn id="9" xr3:uid="{08E47AC7-5580-40EE-AA5E-E63B6D775F19}" name="Cost / M²" dataDxfId="17">
      <calculatedColumnFormula>(IF(A25="Substrate",(F25*G25)/1000,(D25*G25)/1000))*(1+table1[[#This Row],[Waste
%]])</calculatedColumnFormula>
    </tableColumn>
    <tableColumn id="10" xr3:uid="{6061D34F-C8DF-4EFA-905E-8BC988C9E100}" name="Est._x000a_Required Kgs" dataDxfId="16">
      <calculatedColumnFormula>IF(A25="Substrate",((_xlfn.SINGLE(OQKG)*F25)/_xlfn.SINGLE(TGSM))*(1+H25),((_xlfn.SINGLE(OQKG)*D25)/_xlfn.SINGLE(TGSM))*(1+H25))</calculatedColumnFormula>
    </tableColumn>
    <tableColumn id="11" xr3:uid="{34DD8AA7-3F81-4C57-9966-FA6A384BC52D}" name="Layer %" dataDxfId="15">
      <calculatedColumnFormula>table1[[#This Row],[Total GSM]]/$B$37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4C80BE-F4F8-4934-9879-F5555B90B675}" name="table111" displayName="table111" ref="A24:K32" totalsRowShown="0" headerRowDxfId="14" dataDxfId="12" headerRowBorderDxfId="13" tableBorderDxfId="11">
  <tableColumns count="11">
    <tableColumn id="1" xr3:uid="{C78D00EE-CC8D-4078-8CF3-F7CA276EB14E}" name="Type" dataDxfId="10"/>
    <tableColumn id="2" xr3:uid="{1D84220D-1AC7-4C20-8698-133A4B852684}" name="Material" dataDxfId="9"/>
    <tableColumn id="3" xr3:uid="{85EF343D-3E7B-4865-8D76-03D11AE9E519}" name="Solid_x000a_%" dataDxfId="8" dataCellStyle="Percent">
      <calculatedColumnFormula>VLOOKUP(B25,Material[],3,FALSE)</calculatedColumnFormula>
    </tableColumn>
    <tableColumn id="4" xr3:uid="{B0482690-6F47-4FE7-9C89-DA01552E21F8}" name="Micron" dataDxfId="7"/>
    <tableColumn id="5" xr3:uid="{E7E60B92-AF49-4CC8-8113-82A5EF636877}" name="Density" dataDxfId="6">
      <calculatedColumnFormula>VLOOKUP(B25,Material[],2,FALSE)</calculatedColumnFormula>
    </tableColumn>
    <tableColumn id="6" xr3:uid="{94DD0504-F221-405D-81CF-F0738ECA1FCC}" name="Total GSM" dataDxfId="5">
      <calculatedColumnFormula>IF(A25="Substrate",D25*E25,C25*D25)</calculatedColumnFormula>
    </tableColumn>
    <tableColumn id="7" xr3:uid="{2CA9B622-3087-468C-989B-788B5B5FA003}" name="Cost Per Kg" dataDxfId="4">
      <calculatedColumnFormula>VLOOKUP(B25,Material[],4,FALSE)</calculatedColumnFormula>
    </tableColumn>
    <tableColumn id="8" xr3:uid="{86908396-9795-4DE3-9FF0-383162A826B5}" name="Waste_x000a_%" dataDxfId="3" dataCellStyle="Percent"/>
    <tableColumn id="9" xr3:uid="{E189D7D2-A0B2-4FE3-8D31-A34B3D925414}" name="Cost / M²" dataDxfId="2">
      <calculatedColumnFormula>(IF(A25="Substrate",(F25*G25)/1000,(D25*G25)/1000))*(1+table111[[#This Row],[Waste
%]])</calculatedColumnFormula>
    </tableColumn>
    <tableColumn id="10" xr3:uid="{F2A518A6-5B7C-4FF1-B5F2-B276433B3AE1}" name="Est._x000a_Required Kgs" dataDxfId="1">
      <calculatedColumnFormula>IF(A25="Substrate",(($I$36*F25)/$B$37)*(1+H25),(($I$36*D25)/$B$37)*(1+H25))</calculatedColumnFormula>
    </tableColumn>
    <tableColumn id="11" xr3:uid="{380643C8-6CF2-44AE-9796-D6CDAFCFF6FC}" name="Layer %" dataDxfId="0">
      <calculatedColumnFormula>table111[[#This Row],[Total GSM]]/$B$37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BEC1B8-2D62-4D3C-BC8B-5160C73EEE81}">
  <we:reference id="wa200000113" version="1.0.0.0" store="en-US" storeType="OMEX"/>
  <we:alternateReferences>
    <we:reference id="WA200000113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exemple@abc.com" TargetMode="External"/><Relationship Id="rId1" Type="http://schemas.openxmlformats.org/officeDocument/2006/relationships/hyperlink" Target="mailto:Main@propackhub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0F96-DF34-426C-837C-16E80779BB61}">
  <sheetPr>
    <tabColor rgb="FFFFFF99"/>
  </sheetPr>
  <dimension ref="A1:Y123"/>
  <sheetViews>
    <sheetView topLeftCell="A59" zoomScale="80" zoomScaleNormal="80" workbookViewId="0">
      <selection activeCell="G75" sqref="G75"/>
    </sheetView>
  </sheetViews>
  <sheetFormatPr defaultColWidth="8.85546875" defaultRowHeight="15" x14ac:dyDescent="0.25"/>
  <cols>
    <col min="1" max="1" width="15.7109375" customWidth="1"/>
    <col min="2" max="2" width="17" customWidth="1"/>
    <col min="3" max="3" width="16.7109375" customWidth="1"/>
    <col min="4" max="4" width="13" customWidth="1"/>
    <col min="5" max="5" width="10.42578125" bestFit="1" customWidth="1"/>
    <col min="6" max="6" width="11.140625" customWidth="1"/>
    <col min="7" max="7" width="13.85546875" customWidth="1"/>
    <col min="8" max="8" width="15.7109375" customWidth="1"/>
    <col min="9" max="9" width="10.140625" customWidth="1"/>
    <col min="10" max="10" width="13.85546875" customWidth="1"/>
    <col min="11" max="11" width="17.140625" customWidth="1"/>
    <col min="12" max="12" width="9.42578125" customWidth="1"/>
    <col min="13" max="13" width="21.42578125" bestFit="1" customWidth="1"/>
    <col min="14" max="14" width="10" bestFit="1" customWidth="1"/>
    <col min="15" max="15" width="14.28515625" bestFit="1" customWidth="1"/>
    <col min="16" max="16" width="20.28515625" bestFit="1" customWidth="1"/>
    <col min="17" max="17" width="19.85546875" bestFit="1" customWidth="1"/>
    <col min="18" max="18" width="18.140625" customWidth="1"/>
    <col min="19" max="19" width="15.28515625" bestFit="1" customWidth="1"/>
    <col min="20" max="22" width="12.42578125" bestFit="1" customWidth="1"/>
  </cols>
  <sheetData>
    <row r="1" spans="1:18" ht="21" x14ac:dyDescent="0.35">
      <c r="A1" s="332" t="s">
        <v>153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"/>
      <c r="N1" s="12"/>
      <c r="O1" s="12"/>
      <c r="P1" s="9"/>
      <c r="Q1" s="9"/>
      <c r="R1" s="9"/>
    </row>
    <row r="2" spans="1:18" ht="15.75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.75" customHeight="1" x14ac:dyDescent="0.25">
      <c r="A3" s="333" t="s">
        <v>50</v>
      </c>
      <c r="B3" s="333"/>
      <c r="C3" s="334" t="s">
        <v>130</v>
      </c>
      <c r="D3" s="334"/>
      <c r="E3" s="334"/>
      <c r="F3" s="9"/>
      <c r="G3" s="333" t="s">
        <v>56</v>
      </c>
      <c r="H3" s="333"/>
      <c r="I3" s="334" t="s">
        <v>129</v>
      </c>
      <c r="J3" s="334"/>
      <c r="K3" s="334"/>
      <c r="L3" s="334"/>
      <c r="M3" s="9"/>
      <c r="N3" s="9"/>
      <c r="O3" s="9"/>
    </row>
    <row r="4" spans="1:18" ht="15.7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8" ht="15.75" customHeight="1" x14ac:dyDescent="0.25">
      <c r="A5" s="333" t="s">
        <v>51</v>
      </c>
      <c r="B5" s="333"/>
      <c r="C5" s="335" t="s">
        <v>0</v>
      </c>
      <c r="D5" s="335"/>
      <c r="E5" s="335"/>
      <c r="F5" s="9"/>
      <c r="G5" s="333" t="s">
        <v>53</v>
      </c>
      <c r="H5" s="333"/>
      <c r="I5" s="336">
        <v>10000</v>
      </c>
      <c r="J5" s="336"/>
      <c r="K5" s="335" t="s">
        <v>2</v>
      </c>
      <c r="L5" s="335"/>
      <c r="M5" s="9"/>
      <c r="N5" s="9"/>
    </row>
    <row r="6" spans="1:18" ht="15.75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6"/>
      <c r="N6" s="9"/>
      <c r="O6" s="9"/>
      <c r="P6" s="9"/>
      <c r="Q6" s="9"/>
    </row>
    <row r="7" spans="1:18" x14ac:dyDescent="0.25">
      <c r="M7" s="6"/>
    </row>
    <row r="8" spans="1:18" x14ac:dyDescent="0.25">
      <c r="B8" s="1"/>
      <c r="M8" s="6"/>
      <c r="O8" s="19"/>
    </row>
    <row r="9" spans="1:18" ht="15.75" x14ac:dyDescent="0.25">
      <c r="A9" s="326" t="s">
        <v>54</v>
      </c>
      <c r="B9" s="326"/>
      <c r="C9" s="326"/>
      <c r="O9" s="20"/>
      <c r="P9" s="20"/>
    </row>
    <row r="10" spans="1:18" ht="15.75" x14ac:dyDescent="0.25">
      <c r="A10" s="326" t="s">
        <v>55</v>
      </c>
      <c r="B10" s="326"/>
      <c r="C10" s="326"/>
      <c r="N10" s="20"/>
      <c r="O10" s="327"/>
      <c r="P10" s="327"/>
      <c r="Q10" s="44"/>
    </row>
    <row r="11" spans="1:18" ht="15.75" thickBot="1" x14ac:dyDescent="0.3"/>
    <row r="12" spans="1:18" ht="15.75" thickBot="1" x14ac:dyDescent="0.3">
      <c r="A12" s="328" t="s">
        <v>67</v>
      </c>
      <c r="B12" s="329"/>
      <c r="C12" s="330"/>
      <c r="E12" s="2"/>
      <c r="F12" s="2"/>
      <c r="G12" s="2"/>
      <c r="I12" s="331"/>
      <c r="J12" s="331"/>
      <c r="K12" s="331"/>
      <c r="M12" s="331"/>
      <c r="N12" s="331"/>
    </row>
    <row r="13" spans="1:18" x14ac:dyDescent="0.25">
      <c r="A13" s="324" t="s">
        <v>8</v>
      </c>
      <c r="B13" s="325"/>
      <c r="C13" s="135">
        <v>250</v>
      </c>
      <c r="E13" s="319"/>
      <c r="F13" s="319"/>
      <c r="G13" s="21"/>
      <c r="I13" s="319"/>
      <c r="J13" s="319"/>
      <c r="K13" s="21"/>
    </row>
    <row r="14" spans="1:18" x14ac:dyDescent="0.25">
      <c r="A14" s="322" t="s">
        <v>9</v>
      </c>
      <c r="B14" s="323"/>
      <c r="C14" s="30">
        <v>100</v>
      </c>
      <c r="E14" s="319"/>
      <c r="F14" s="319"/>
      <c r="G14" s="21"/>
      <c r="I14" s="319"/>
      <c r="J14" s="319"/>
      <c r="K14" s="21"/>
      <c r="M14" s="319"/>
      <c r="N14" s="319"/>
      <c r="O14" s="21"/>
      <c r="Q14" s="21"/>
    </row>
    <row r="15" spans="1:18" x14ac:dyDescent="0.25">
      <c r="A15" s="322" t="s">
        <v>6</v>
      </c>
      <c r="B15" s="323"/>
      <c r="C15" s="31">
        <v>0</v>
      </c>
      <c r="E15" s="319"/>
      <c r="F15" s="319"/>
      <c r="G15" s="21"/>
      <c r="I15" s="4"/>
      <c r="J15" s="4"/>
      <c r="K15" s="131"/>
      <c r="M15" s="319"/>
      <c r="N15" s="319"/>
      <c r="O15" s="21"/>
      <c r="Q15" s="21"/>
    </row>
    <row r="16" spans="1:18" x14ac:dyDescent="0.25">
      <c r="A16" s="322" t="s">
        <v>10</v>
      </c>
      <c r="B16" s="323"/>
      <c r="C16" s="136">
        <v>1</v>
      </c>
      <c r="E16" s="4"/>
      <c r="F16" s="4"/>
      <c r="G16" s="131"/>
      <c r="I16" s="319"/>
      <c r="J16" s="319"/>
      <c r="K16" s="6"/>
      <c r="M16" s="319"/>
      <c r="N16" s="319"/>
    </row>
    <row r="17" spans="1:15" ht="15.75" thickBot="1" x14ac:dyDescent="0.3">
      <c r="A17" s="317" t="s">
        <v>7</v>
      </c>
      <c r="B17" s="318"/>
      <c r="C17" s="32">
        <v>0</v>
      </c>
      <c r="E17" s="319"/>
      <c r="F17" s="319"/>
      <c r="G17" s="6"/>
      <c r="M17" s="319"/>
      <c r="N17" s="319"/>
    </row>
    <row r="18" spans="1:15" x14ac:dyDescent="0.25">
      <c r="L18">
        <f>1000/L19</f>
        <v>12.787723785166239</v>
      </c>
      <c r="M18" s="319"/>
      <c r="N18" s="319"/>
    </row>
    <row r="19" spans="1:15" x14ac:dyDescent="0.25">
      <c r="L19">
        <f>F25*G25</f>
        <v>78.2</v>
      </c>
      <c r="M19" s="267"/>
      <c r="N19" s="267"/>
    </row>
    <row r="20" spans="1:15" x14ac:dyDescent="0.25">
      <c r="L20">
        <f>L19/1000</f>
        <v>7.8200000000000006E-2</v>
      </c>
      <c r="M20" s="267"/>
      <c r="N20" s="267"/>
    </row>
    <row r="21" spans="1:15" x14ac:dyDescent="0.25">
      <c r="C21" s="320"/>
      <c r="D21" s="53"/>
      <c r="E21" s="320"/>
      <c r="F21" s="320"/>
      <c r="G21" s="320"/>
      <c r="H21" s="320"/>
    </row>
    <row r="22" spans="1:15" x14ac:dyDescent="0.25">
      <c r="C22" s="320"/>
      <c r="D22" s="53"/>
      <c r="E22" s="320"/>
      <c r="F22" s="320"/>
      <c r="G22" s="320"/>
      <c r="H22" s="320"/>
    </row>
    <row r="23" spans="1:15" ht="15.75" thickBot="1" x14ac:dyDescent="0.3">
      <c r="C23" s="321"/>
      <c r="D23" s="53"/>
      <c r="E23" s="321"/>
      <c r="F23" s="321"/>
      <c r="G23" s="321"/>
      <c r="H23" s="321"/>
    </row>
    <row r="24" spans="1:15" ht="45" x14ac:dyDescent="0.25">
      <c r="A24" s="155" t="s">
        <v>11</v>
      </c>
      <c r="B24" s="156" t="s">
        <v>12</v>
      </c>
      <c r="C24" s="156" t="s">
        <v>13</v>
      </c>
      <c r="D24" s="156" t="s">
        <v>37</v>
      </c>
      <c r="E24" s="156" t="s">
        <v>14</v>
      </c>
      <c r="F24" s="156" t="s">
        <v>15</v>
      </c>
      <c r="G24" s="156" t="s">
        <v>16</v>
      </c>
      <c r="H24" s="156" t="s">
        <v>17</v>
      </c>
      <c r="I24" s="156" t="s">
        <v>18</v>
      </c>
      <c r="J24" s="156" t="s">
        <v>19</v>
      </c>
      <c r="K24" s="157" t="s">
        <v>39</v>
      </c>
    </row>
    <row r="25" spans="1:15" x14ac:dyDescent="0.25">
      <c r="A25" s="172" t="s">
        <v>34</v>
      </c>
      <c r="B25" s="172" t="s">
        <v>119</v>
      </c>
      <c r="C25" s="173">
        <f>VLOOKUP(B25,Material[],3,FALSE)</f>
        <v>1</v>
      </c>
      <c r="D25" s="174">
        <v>50</v>
      </c>
      <c r="E25" s="175">
        <f>VLOOKUP(B25,Material[],2,FALSE)</f>
        <v>0.92</v>
      </c>
      <c r="F25" s="175">
        <f>IF(A25="Substrate",D25*E25,C25*D25)</f>
        <v>46</v>
      </c>
      <c r="G25" s="176">
        <v>1.7</v>
      </c>
      <c r="H25" s="177">
        <v>0</v>
      </c>
      <c r="I25" s="178">
        <f>(IF(A25="Substrate",(F25*G25)/1000,(D25*G25)/1000))*(1+table1713[[#This Row],[Waste
%]])</f>
        <v>7.8200000000000006E-2</v>
      </c>
      <c r="J25" s="179">
        <f>IF(A25="Substrate",(($I$36*F25)/$B$37)*(1+H25),(($I$36*D25)/$B$37)*(1+H25))</f>
        <v>9584.3317012188782</v>
      </c>
      <c r="K25" s="180">
        <f>table1713[[#This Row],[Total GSM]]/$B$37</f>
        <v>0.95843317012188778</v>
      </c>
      <c r="O25" t="s">
        <v>337</v>
      </c>
    </row>
    <row r="26" spans="1:15" x14ac:dyDescent="0.25">
      <c r="A26" s="172" t="s">
        <v>27</v>
      </c>
      <c r="B26" s="172" t="s">
        <v>28</v>
      </c>
      <c r="C26" s="173">
        <f>VLOOKUP(B26,Material[],3,FALSE)</f>
        <v>0.35</v>
      </c>
      <c r="D26" s="174">
        <v>5.7</v>
      </c>
      <c r="E26" s="175">
        <f>VLOOKUP(B26,Material[],2,FALSE)</f>
        <v>1</v>
      </c>
      <c r="F26" s="175">
        <f>IF(A26="Substrate",D26*E26,C26*D26)</f>
        <v>1.9949999999999999</v>
      </c>
      <c r="G26" s="176">
        <f>VLOOKUP(B26,Material[],4,FALSE)</f>
        <v>4.5999999999999996</v>
      </c>
      <c r="H26" s="177">
        <v>0</v>
      </c>
      <c r="I26" s="178">
        <f>(IF(A26="Substrate",(F26*G26)/1000,(D26*G26)/1000))*(1+table1713[[#This Row],[Waste
%]])</f>
        <v>2.622E-2</v>
      </c>
      <c r="J26" s="179">
        <f>IF(A26="Substrate",(($I$36*F26)/$B$37)*(1+H26),(($I$36*D26)/$B$37)*(1+H26))</f>
        <v>1187.6237108032087</v>
      </c>
      <c r="K26" s="180">
        <f>table1713[[#This Row],[Total GSM]]/$B$37</f>
        <v>4.1566829878112305E-2</v>
      </c>
      <c r="M26" s="101"/>
      <c r="O26" t="s">
        <v>59</v>
      </c>
    </row>
    <row r="27" spans="1:15" x14ac:dyDescent="0.25">
      <c r="A27" s="172"/>
      <c r="B27" s="172"/>
      <c r="C27" s="173"/>
      <c r="D27" s="174"/>
      <c r="E27" s="175"/>
      <c r="F27" s="175"/>
      <c r="G27" s="176"/>
      <c r="H27" s="177"/>
      <c r="I27" s="178"/>
      <c r="J27" s="179"/>
      <c r="K27" s="180"/>
      <c r="O27" t="s">
        <v>338</v>
      </c>
    </row>
    <row r="28" spans="1:15" x14ac:dyDescent="0.25">
      <c r="A28" s="172"/>
      <c r="B28" s="172"/>
      <c r="C28" s="173"/>
      <c r="D28" s="174"/>
      <c r="E28" s="175"/>
      <c r="F28" s="175"/>
      <c r="G28" s="176"/>
      <c r="H28" s="177"/>
      <c r="I28" s="178"/>
      <c r="J28" s="179"/>
      <c r="K28" s="180"/>
    </row>
    <row r="29" spans="1:15" ht="15.75" thickBot="1" x14ac:dyDescent="0.3">
      <c r="A29" s="165"/>
      <c r="B29" s="172"/>
      <c r="C29" s="166"/>
      <c r="D29" s="167"/>
      <c r="E29" s="168"/>
      <c r="F29" s="168"/>
      <c r="G29" s="169"/>
      <c r="H29" s="170"/>
      <c r="I29" s="171"/>
      <c r="J29" s="52"/>
      <c r="K29" s="58"/>
    </row>
    <row r="30" spans="1:15" x14ac:dyDescent="0.25">
      <c r="A30" s="59"/>
      <c r="B30" s="46"/>
      <c r="C30" s="48"/>
      <c r="D30" s="49"/>
      <c r="E30" s="50"/>
      <c r="F30" s="50"/>
      <c r="G30" s="71"/>
      <c r="H30" s="51"/>
      <c r="I30" s="47"/>
      <c r="J30" s="52"/>
      <c r="K30" s="58"/>
    </row>
    <row r="31" spans="1:15" ht="15.75" thickBot="1" x14ac:dyDescent="0.3">
      <c r="A31" s="310" t="s">
        <v>38</v>
      </c>
      <c r="B31" s="311"/>
      <c r="C31" s="311"/>
      <c r="D31" s="311"/>
      <c r="E31" s="60">
        <v>4.1666666666666664E-2</v>
      </c>
      <c r="F31" s="65">
        <v>1</v>
      </c>
      <c r="G31" s="61">
        <f>VLOOKUP("Solvent Mix",Material[],4,FALSE)</f>
        <v>1.5</v>
      </c>
      <c r="H31" s="62"/>
      <c r="I31" s="63">
        <f>((SUMIFS(table1713[Total GSM],table1713[Type],"ink")+SUMIFS(table1713[Total GSM],table1713[Material],"Solvent Base"))/$F$31)*G31/1000</f>
        <v>2.9924999999999995E-3</v>
      </c>
      <c r="J31" s="125">
        <f>(SUMIFS(table1713[Est.
Required Kgs],table1713[Type], "Ink") + SUMIFS(table1713[Est.
Required Kgs],table1713[Material], "Solvent Base"))*$F$31</f>
        <v>1187.6237108032087</v>
      </c>
      <c r="K31" s="64"/>
    </row>
    <row r="32" spans="1:15" ht="15" customHeight="1" x14ac:dyDescent="0.25">
      <c r="A32" s="17"/>
      <c r="B32" s="17"/>
      <c r="C32" s="17"/>
      <c r="D32" s="17"/>
      <c r="E32" s="18"/>
      <c r="F32" s="18"/>
      <c r="G32" s="18"/>
      <c r="H32" s="18"/>
      <c r="I32" s="18"/>
      <c r="J32" s="18"/>
      <c r="K32" s="18"/>
      <c r="N32" s="38"/>
    </row>
    <row r="33" spans="1:13" x14ac:dyDescent="0.25">
      <c r="A33" s="17"/>
      <c r="B33" s="17"/>
      <c r="C33" s="17"/>
      <c r="D33" s="17"/>
      <c r="E33" s="18"/>
      <c r="F33" s="18"/>
      <c r="G33" s="18"/>
      <c r="H33" s="18"/>
      <c r="I33" s="18"/>
      <c r="J33" s="18"/>
      <c r="K33" s="18"/>
    </row>
    <row r="34" spans="1:13" x14ac:dyDescent="0.25">
      <c r="A34" s="2"/>
      <c r="B34" s="2"/>
      <c r="C34" s="11"/>
    </row>
    <row r="35" spans="1:13" x14ac:dyDescent="0.25">
      <c r="A35" s="273" t="s">
        <v>40</v>
      </c>
      <c r="B35" s="275">
        <f>B37/B36</f>
        <v>0.92306952591595348</v>
      </c>
      <c r="C35" s="312" t="s">
        <v>66</v>
      </c>
      <c r="D35" s="312"/>
      <c r="E35" s="134">
        <f>IF(C5="Roll", (1000/(C13*C14*B37*0.001*0.001))*C16, IF(C5="Sleeve", (1000/(G14*G15*B37*0.001*0.001))*1, IF(C5="Bag or Pouch", (1000/(K14*K13*B37*0.001*0.001))*1, "")))</f>
        <v>833.42014793207625</v>
      </c>
      <c r="F35" s="312" t="s">
        <v>65</v>
      </c>
      <c r="G35" s="312"/>
      <c r="H35" s="312"/>
      <c r="I35">
        <f>IF(C5="Roll", ((C13*C17)+C15), IF(C5="Sleeve", ((G14*G17)+G16), IF(C5="Bag or Pouch", ((K14*K16)+K15), "")))</f>
        <v>0</v>
      </c>
    </row>
    <row r="36" spans="1:13" x14ac:dyDescent="0.25">
      <c r="A36" s="273" t="s">
        <v>82</v>
      </c>
      <c r="B36" s="276">
        <f>SUMIFS(table1713[Micron],table1713[Type],"substrate")+SUMIFS(table1713[Total GSM],table1713[Type],"Ink")+SUMIFS(table1713[Total GSM],table1713[Type],"Adhesive")</f>
        <v>51.994999999999997</v>
      </c>
      <c r="C36" s="312" t="s">
        <v>59</v>
      </c>
      <c r="D36" s="312"/>
      <c r="E36" s="15">
        <f>1000/E35</f>
        <v>1.199875</v>
      </c>
      <c r="F36" s="312" t="s">
        <v>88</v>
      </c>
      <c r="G36" s="312"/>
      <c r="H36" s="312"/>
      <c r="I36" s="38">
        <f>IF(UnitsDD="Kgs", I5,
 IF(UnitsDD="Kpcs", I5*E36,
 IF(UnitsDD="SQM", I5/E37,
 IF(UnitsDD="LM", I5/E39,
 IF(UnitsDD="Roll 500 LM", (I5/E39)*500, "")))))</f>
        <v>10000</v>
      </c>
      <c r="J36" s="102" t="s">
        <v>152</v>
      </c>
      <c r="K36" s="193"/>
      <c r="L36" t="s">
        <v>155</v>
      </c>
    </row>
    <row r="37" spans="1:13" x14ac:dyDescent="0.25">
      <c r="A37" s="273" t="s">
        <v>15</v>
      </c>
      <c r="B37" s="276">
        <f>SUM(F25:F30)</f>
        <v>47.994999999999997</v>
      </c>
      <c r="C37" s="313" t="s">
        <v>60</v>
      </c>
      <c r="D37" s="313"/>
      <c r="E37" s="274">
        <f>1000/B37</f>
        <v>20.835503698301906</v>
      </c>
      <c r="F37" s="312" t="s">
        <v>89</v>
      </c>
      <c r="G37" s="312"/>
      <c r="H37" s="312"/>
      <c r="I37" s="38">
        <f>(I36*1000)/E36/1000</f>
        <v>8334.2014793207618</v>
      </c>
    </row>
    <row r="38" spans="1:13" x14ac:dyDescent="0.25">
      <c r="A38" s="273" t="s">
        <v>83</v>
      </c>
      <c r="B38" s="16">
        <f>SUM(I25:I30)+I31</f>
        <v>0.10741250000000001</v>
      </c>
      <c r="C38" s="312" t="s">
        <v>86</v>
      </c>
      <c r="D38" s="312"/>
      <c r="E38" s="15" t="e">
        <f>(E37/I35)*1000</f>
        <v>#DIV/0!</v>
      </c>
      <c r="F38" s="312" t="s">
        <v>135</v>
      </c>
      <c r="G38" s="312"/>
      <c r="H38" s="312"/>
      <c r="I38" s="38" t="e">
        <f>I36*E38</f>
        <v>#DIV/0!</v>
      </c>
    </row>
    <row r="39" spans="1:13" x14ac:dyDescent="0.25">
      <c r="C39" s="312" t="s">
        <v>151</v>
      </c>
      <c r="D39" s="312"/>
      <c r="E39" s="15">
        <f>IF(C5="Roll", ((E37/C13)*1000), IF(C5="Sleeve", ((E37/G14)*1000), IF(C5="Bag or Pouch", ((E37/K13)*1000), "")))</f>
        <v>83.342014793207625</v>
      </c>
    </row>
    <row r="40" spans="1:13" x14ac:dyDescent="0.25">
      <c r="F40" s="2"/>
    </row>
    <row r="41" spans="1:13" x14ac:dyDescent="0.25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</row>
    <row r="42" spans="1:13" ht="15.75" x14ac:dyDescent="0.25">
      <c r="A42" s="94" t="s">
        <v>84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</row>
    <row r="43" spans="1:13" ht="16.5" thickBot="1" x14ac:dyDescent="0.3">
      <c r="A43" s="94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</row>
    <row r="44" spans="1:13" ht="15.75" thickBot="1" x14ac:dyDescent="0.3">
      <c r="A44" s="314" t="s">
        <v>92</v>
      </c>
      <c r="B44" s="315"/>
      <c r="C44" s="316"/>
      <c r="D44" s="79">
        <v>176</v>
      </c>
      <c r="E44" s="82"/>
      <c r="F44" s="82"/>
      <c r="G44" s="82"/>
      <c r="H44" s="82"/>
      <c r="I44" s="82"/>
      <c r="J44" s="82"/>
      <c r="K44" s="82"/>
      <c r="L44" s="82"/>
      <c r="M44" s="82"/>
    </row>
    <row r="45" spans="1:13" x14ac:dyDescent="0.25">
      <c r="A45" s="76"/>
      <c r="B45" s="76"/>
      <c r="C45" s="76"/>
      <c r="D45" s="82"/>
      <c r="E45" s="82"/>
      <c r="F45" s="82"/>
      <c r="G45" s="82"/>
      <c r="H45" s="82"/>
      <c r="I45" s="82"/>
      <c r="J45" s="82"/>
      <c r="K45" s="82"/>
      <c r="L45" s="82"/>
      <c r="M45" s="82"/>
    </row>
    <row r="46" spans="1:13" x14ac:dyDescent="0.25">
      <c r="A46" s="299" t="s">
        <v>62</v>
      </c>
      <c r="B46" s="299"/>
      <c r="C46" s="299"/>
      <c r="D46" s="77">
        <v>600</v>
      </c>
      <c r="E46" s="82"/>
      <c r="F46" s="82"/>
      <c r="G46" s="82"/>
      <c r="H46" s="82"/>
      <c r="I46" s="82"/>
      <c r="J46" s="82"/>
      <c r="K46" s="82"/>
      <c r="L46" s="82"/>
      <c r="M46" s="82"/>
    </row>
    <row r="47" spans="1:13" x14ac:dyDescent="0.25">
      <c r="A47" s="299" t="s">
        <v>63</v>
      </c>
      <c r="B47" s="299"/>
      <c r="C47" s="299"/>
      <c r="D47" s="127">
        <f>IF(C5="Roll",(((D46/2)^2-(D44/2)^2)*PI()*C13*B35/1000000),IF(C5="Sleeve",(((D46/2)^2-(D44/2)^2)*PI()*G14*B35/1000000),IF(C5="Bag or Pouch",(((D46/2)^2-(D44/2)^2)*PI()*K13*B35/1000000))))</f>
        <v>59.633717188336227</v>
      </c>
      <c r="E47" s="82"/>
      <c r="F47" s="82"/>
      <c r="G47" s="82"/>
      <c r="H47" s="82"/>
      <c r="I47" s="82"/>
      <c r="J47" s="82"/>
      <c r="K47" s="82"/>
      <c r="L47" s="82"/>
      <c r="M47" s="82"/>
    </row>
    <row r="48" spans="1:13" x14ac:dyDescent="0.25">
      <c r="A48" s="299" t="s">
        <v>48</v>
      </c>
      <c r="B48" s="299"/>
      <c r="C48" s="299"/>
      <c r="D48" s="128">
        <f>IF(C5="Roll",((D47*1000/B35)/((B36/10000)*(C13/10))/100),IF(C5="Sleeve",((D47*1000/B35)/((B36/10000)*(G14/10))/100),IF(C5="Bag or Pouch",((D47*1000/B35)/((B36/10000)*(K13/10))/100))))</f>
        <v>4969.9941400842772</v>
      </c>
      <c r="E48" s="82"/>
      <c r="F48" s="82"/>
      <c r="G48" s="82"/>
      <c r="H48" s="82"/>
      <c r="I48" s="82"/>
      <c r="J48" s="82"/>
      <c r="K48" s="82"/>
      <c r="L48" s="82"/>
      <c r="M48" s="82"/>
    </row>
    <row r="49" spans="1:14" x14ac:dyDescent="0.25">
      <c r="A49" s="299" t="s">
        <v>85</v>
      </c>
      <c r="B49" s="299"/>
      <c r="C49" s="299"/>
      <c r="D49" s="97">
        <f>IF(C5="Roll",C13,IF(C5="Sleeve", G14,IF(C5="Bag or Pouch", K13)))</f>
        <v>250</v>
      </c>
      <c r="E49" s="82"/>
      <c r="F49" s="82"/>
      <c r="G49" s="82"/>
      <c r="H49" s="82"/>
      <c r="I49" s="82"/>
      <c r="J49" s="82"/>
      <c r="K49" s="82"/>
      <c r="L49" s="82"/>
      <c r="M49" s="82"/>
    </row>
    <row r="50" spans="1:14" x14ac:dyDescent="0.25">
      <c r="A50" s="299" t="s">
        <v>64</v>
      </c>
      <c r="B50" s="299"/>
      <c r="C50" s="299"/>
      <c r="D50" s="98">
        <f>(D47*E35)</f>
        <v>49699.941400842778</v>
      </c>
      <c r="E50" s="82"/>
      <c r="F50" s="82"/>
      <c r="G50" s="82"/>
      <c r="H50" s="82"/>
      <c r="I50" s="82"/>
      <c r="J50" s="82"/>
      <c r="K50" s="82"/>
      <c r="L50" s="82"/>
      <c r="M50" s="82"/>
    </row>
    <row r="51" spans="1:14" x14ac:dyDescent="0.25">
      <c r="A51" s="76"/>
      <c r="B51" s="76"/>
      <c r="C51" s="76"/>
      <c r="D51" s="99"/>
      <c r="E51" s="82"/>
      <c r="F51" s="82"/>
      <c r="G51" s="82"/>
      <c r="H51" s="82"/>
      <c r="I51" s="82"/>
      <c r="J51" s="82"/>
      <c r="K51" s="82"/>
      <c r="L51" s="82"/>
      <c r="M51" s="82"/>
    </row>
    <row r="52" spans="1:14" x14ac:dyDescent="0.25">
      <c r="A52" s="299" t="s">
        <v>93</v>
      </c>
      <c r="B52" s="299"/>
      <c r="C52" s="299"/>
      <c r="D52" s="78">
        <v>74</v>
      </c>
      <c r="E52" s="82"/>
      <c r="F52" s="82"/>
      <c r="G52" s="82"/>
      <c r="H52" s="82"/>
      <c r="I52" s="82"/>
      <c r="J52" s="82"/>
      <c r="K52" s="82"/>
      <c r="L52" s="82"/>
      <c r="M52" s="82"/>
    </row>
    <row r="53" spans="1:14" x14ac:dyDescent="0.25">
      <c r="A53" s="299" t="s">
        <v>49</v>
      </c>
      <c r="B53" s="299"/>
      <c r="C53" s="299"/>
      <c r="D53" s="100">
        <f>IF(C5="Roll",(2*SQRT((((D52*1000)/B35)/(C13/10)/PI())+((D44/2/10)^2))*10),IF(C5="Sleeve",(2*SQRT((((D52*1000)/B35)/(G14/10)/PI())+((D44/2/10)^2))*10),IF(C5="Bag or Pouch",(2*SQRT((((D52*1000)/B35)/(K13/10)/PI())+((D44/2/10)^2))*10))))</f>
        <v>662.77051272480605</v>
      </c>
      <c r="E53" s="82"/>
      <c r="F53" s="82"/>
      <c r="G53" s="82"/>
      <c r="H53" s="82"/>
      <c r="I53" s="82"/>
      <c r="J53" s="82"/>
      <c r="K53" s="82"/>
      <c r="L53" s="82"/>
      <c r="M53" s="82"/>
    </row>
    <row r="54" spans="1:14" x14ac:dyDescent="0.2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</row>
    <row r="55" spans="1:14" x14ac:dyDescent="0.2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</row>
    <row r="56" spans="1:14" x14ac:dyDescent="0.2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</row>
    <row r="57" spans="1:14" x14ac:dyDescent="0.25">
      <c r="A57" s="81" t="s">
        <v>108</v>
      </c>
      <c r="B57" s="82"/>
      <c r="C57" s="82"/>
      <c r="D57" s="83"/>
      <c r="E57" s="83"/>
      <c r="F57" s="83"/>
      <c r="G57" s="83"/>
      <c r="H57" s="83"/>
      <c r="I57" s="82"/>
      <c r="J57" s="82"/>
      <c r="K57" s="82"/>
      <c r="L57" s="82"/>
      <c r="M57" s="82"/>
    </row>
    <row r="58" spans="1:14" ht="15.75" thickBot="1" x14ac:dyDescent="0.3">
      <c r="A58" s="81"/>
      <c r="B58" s="82"/>
      <c r="C58" s="82"/>
      <c r="D58" s="83"/>
      <c r="E58" s="83"/>
      <c r="F58" s="83"/>
      <c r="G58" s="83"/>
      <c r="H58" s="83"/>
      <c r="I58" s="82"/>
      <c r="J58" s="82"/>
      <c r="K58" s="82"/>
      <c r="L58" s="82"/>
      <c r="M58" s="82"/>
    </row>
    <row r="59" spans="1:14" ht="45.75" thickBot="1" x14ac:dyDescent="0.3">
      <c r="A59" s="82"/>
      <c r="B59" s="82"/>
      <c r="C59" s="107" t="s">
        <v>125</v>
      </c>
      <c r="D59" s="108" t="s">
        <v>94</v>
      </c>
      <c r="E59" s="109" t="s">
        <v>95</v>
      </c>
      <c r="F59" s="110" t="s">
        <v>96</v>
      </c>
      <c r="G59" s="111" t="s">
        <v>97</v>
      </c>
      <c r="H59" s="111" t="s">
        <v>98</v>
      </c>
      <c r="I59" s="82"/>
      <c r="J59" s="82"/>
      <c r="K59" s="82"/>
      <c r="L59" s="82"/>
      <c r="M59" s="82"/>
      <c r="N59" s="19"/>
    </row>
    <row r="60" spans="1:14" x14ac:dyDescent="0.25">
      <c r="A60" s="84" t="b">
        <v>1</v>
      </c>
      <c r="B60" s="115" t="s">
        <v>99</v>
      </c>
      <c r="C60" s="201">
        <v>700</v>
      </c>
      <c r="D60" s="116">
        <v>1</v>
      </c>
      <c r="E60" s="105">
        <f>IF(A60=TRUE, (D60+(SUMIFS(table1713[Est.
Required Kgs], table1713[Material], "LDPE Transparent") + SUMIFS(table1713[Est.
Required Kgs], table1713[Material], "LDPE White"))/C60), "")</f>
        <v>14.691902430312684</v>
      </c>
      <c r="F60" s="204">
        <v>300</v>
      </c>
      <c r="G60" s="207">
        <f>IFERROR(F60*E60,"")</f>
        <v>4407.5707290938053</v>
      </c>
      <c r="H60" s="300">
        <f>SUMIF($A$60:$A$69,"true",$G$60:$G$69)</f>
        <v>4407.5707290938053</v>
      </c>
      <c r="I60" s="82"/>
      <c r="J60" s="82"/>
      <c r="K60" s="82"/>
      <c r="L60" s="82"/>
      <c r="M60" s="82"/>
    </row>
    <row r="61" spans="1:14" x14ac:dyDescent="0.25">
      <c r="A61" s="84" t="b">
        <v>1</v>
      </c>
      <c r="B61" s="119" t="s">
        <v>100</v>
      </c>
      <c r="C61" s="202">
        <v>250</v>
      </c>
      <c r="D61" s="112">
        <v>3</v>
      </c>
      <c r="E61" s="106" t="e">
        <f t="shared" ref="E61:E66" si="0">IF(A61=TRUE, D61+(OQM/C61/60),"")</f>
        <v>#DIV/0!</v>
      </c>
      <c r="F61" s="205">
        <v>300</v>
      </c>
      <c r="G61" s="208" t="str">
        <f t="shared" ref="G61:G69" si="1">IFERROR(F61*E61,"")</f>
        <v/>
      </c>
      <c r="H61" s="301"/>
      <c r="I61" s="82"/>
      <c r="J61" s="85"/>
      <c r="K61" s="82"/>
      <c r="L61" s="82"/>
      <c r="M61" s="82"/>
    </row>
    <row r="62" spans="1:14" x14ac:dyDescent="0.25">
      <c r="A62" s="84" t="b">
        <v>1</v>
      </c>
      <c r="B62" s="119" t="s">
        <v>101</v>
      </c>
      <c r="C62" s="202">
        <v>500</v>
      </c>
      <c r="D62" s="112">
        <v>0.5</v>
      </c>
      <c r="E62" s="106" t="e">
        <f t="shared" si="0"/>
        <v>#DIV/0!</v>
      </c>
      <c r="F62" s="205">
        <v>50</v>
      </c>
      <c r="G62" s="208" t="str">
        <f t="shared" si="1"/>
        <v/>
      </c>
      <c r="H62" s="301"/>
      <c r="I62" s="82"/>
      <c r="J62" s="86"/>
      <c r="K62" s="82"/>
      <c r="L62" s="82"/>
      <c r="M62" s="82"/>
    </row>
    <row r="63" spans="1:14" x14ac:dyDescent="0.25">
      <c r="A63" s="84" t="b">
        <v>1</v>
      </c>
      <c r="B63" s="119" t="s">
        <v>102</v>
      </c>
      <c r="C63" s="202">
        <v>200</v>
      </c>
      <c r="D63" s="112">
        <v>1</v>
      </c>
      <c r="E63" s="106" t="e">
        <f t="shared" si="0"/>
        <v>#DIV/0!</v>
      </c>
      <c r="F63" s="205">
        <v>100</v>
      </c>
      <c r="G63" s="208" t="str">
        <f t="shared" si="1"/>
        <v/>
      </c>
      <c r="H63" s="301"/>
      <c r="I63" s="82"/>
      <c r="J63" s="86"/>
      <c r="K63" s="82"/>
      <c r="L63" s="82"/>
      <c r="M63" s="82"/>
    </row>
    <row r="64" spans="1:14" x14ac:dyDescent="0.25">
      <c r="A64" s="84" t="b">
        <v>1</v>
      </c>
      <c r="B64" s="119" t="s">
        <v>103</v>
      </c>
      <c r="C64" s="202">
        <v>200</v>
      </c>
      <c r="D64" s="112">
        <v>1</v>
      </c>
      <c r="E64" s="106" t="e">
        <f t="shared" si="0"/>
        <v>#DIV/0!</v>
      </c>
      <c r="F64" s="205">
        <v>100</v>
      </c>
      <c r="G64" s="208" t="str">
        <f t="shared" si="1"/>
        <v/>
      </c>
      <c r="H64" s="301"/>
      <c r="I64" s="82"/>
      <c r="J64" s="86"/>
      <c r="K64" s="82"/>
      <c r="L64" s="82"/>
      <c r="M64" s="82"/>
    </row>
    <row r="65" spans="1:15" x14ac:dyDescent="0.25">
      <c r="A65" s="84" t="b">
        <v>1</v>
      </c>
      <c r="B65" s="119" t="s">
        <v>126</v>
      </c>
      <c r="C65" s="202">
        <v>200</v>
      </c>
      <c r="D65" s="112">
        <v>1</v>
      </c>
      <c r="E65" s="106" t="e">
        <f t="shared" si="0"/>
        <v>#DIV/0!</v>
      </c>
      <c r="F65" s="205">
        <v>100</v>
      </c>
      <c r="G65" s="208" t="str">
        <f t="shared" si="1"/>
        <v/>
      </c>
      <c r="H65" s="301"/>
      <c r="I65" s="82"/>
      <c r="J65" s="86"/>
      <c r="K65" s="82"/>
      <c r="L65" s="82"/>
      <c r="M65" s="82"/>
    </row>
    <row r="66" spans="1:15" x14ac:dyDescent="0.25">
      <c r="A66" s="84" t="b">
        <v>1</v>
      </c>
      <c r="B66" s="119" t="s">
        <v>104</v>
      </c>
      <c r="C66" s="202">
        <v>500</v>
      </c>
      <c r="D66" s="112">
        <v>0.5</v>
      </c>
      <c r="E66" s="106" t="e">
        <f t="shared" si="0"/>
        <v>#DIV/0!</v>
      </c>
      <c r="F66" s="205">
        <v>50</v>
      </c>
      <c r="G66" s="208" t="str">
        <f t="shared" si="1"/>
        <v/>
      </c>
      <c r="H66" s="301"/>
      <c r="I66" s="82"/>
      <c r="J66" s="82"/>
      <c r="K66" s="82"/>
      <c r="L66" s="82"/>
      <c r="M66" s="82"/>
    </row>
    <row r="67" spans="1:15" x14ac:dyDescent="0.25">
      <c r="A67" s="84" t="b">
        <v>0</v>
      </c>
      <c r="B67" s="119" t="s">
        <v>105</v>
      </c>
      <c r="C67" s="202">
        <v>0</v>
      </c>
      <c r="D67" s="112">
        <v>0</v>
      </c>
      <c r="E67" s="106">
        <v>0</v>
      </c>
      <c r="F67" s="205">
        <v>0</v>
      </c>
      <c r="G67" s="208">
        <f t="shared" si="1"/>
        <v>0</v>
      </c>
      <c r="H67" s="301"/>
      <c r="I67" s="82"/>
      <c r="J67" s="82"/>
      <c r="K67" s="82"/>
      <c r="L67" s="82"/>
      <c r="M67" s="82"/>
    </row>
    <row r="68" spans="1:15" x14ac:dyDescent="0.25">
      <c r="A68" s="84" t="b">
        <v>0</v>
      </c>
      <c r="B68" s="119" t="s">
        <v>106</v>
      </c>
      <c r="C68" s="202">
        <v>0</v>
      </c>
      <c r="D68" s="112">
        <v>0</v>
      </c>
      <c r="E68" s="106">
        <v>0</v>
      </c>
      <c r="F68" s="205">
        <v>0</v>
      </c>
      <c r="G68" s="208">
        <f t="shared" si="1"/>
        <v>0</v>
      </c>
      <c r="H68" s="301"/>
      <c r="I68" s="82"/>
      <c r="J68" s="82"/>
      <c r="K68" s="82"/>
      <c r="L68" s="82"/>
      <c r="M68" s="82"/>
    </row>
    <row r="69" spans="1:15" ht="15.75" thickBot="1" x14ac:dyDescent="0.3">
      <c r="A69" s="84" t="b">
        <v>0</v>
      </c>
      <c r="B69" s="120" t="s">
        <v>127</v>
      </c>
      <c r="C69" s="203">
        <v>0</v>
      </c>
      <c r="D69" s="121">
        <v>0</v>
      </c>
      <c r="E69" s="126">
        <v>0</v>
      </c>
      <c r="F69" s="206">
        <v>0</v>
      </c>
      <c r="G69" s="209">
        <f t="shared" si="1"/>
        <v>0</v>
      </c>
      <c r="H69" s="302"/>
      <c r="I69" s="82"/>
      <c r="J69" s="82"/>
      <c r="K69" s="82"/>
      <c r="L69" s="82"/>
      <c r="M69" s="82"/>
    </row>
    <row r="70" spans="1:15" x14ac:dyDescent="0.25">
      <c r="A70" s="82"/>
      <c r="B70" s="82"/>
      <c r="C70" s="82"/>
      <c r="D70" s="82"/>
      <c r="E70" s="82"/>
      <c r="F70" s="82"/>
      <c r="G70" s="87" t="s">
        <v>109</v>
      </c>
      <c r="H70" s="137">
        <f>H60/OQKG</f>
        <v>0.44075707290938054</v>
      </c>
      <c r="I70" s="82"/>
      <c r="J70" s="82"/>
      <c r="K70" s="82"/>
      <c r="L70" s="82"/>
      <c r="M70" s="82"/>
    </row>
    <row r="71" spans="1:15" x14ac:dyDescent="0.2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</row>
    <row r="72" spans="1:15" ht="15.75" thickBot="1" x14ac:dyDescent="0.3">
      <c r="A72" s="82"/>
      <c r="B72" s="86" t="s">
        <v>128</v>
      </c>
      <c r="C72" s="82"/>
      <c r="D72" s="82"/>
      <c r="E72" s="83"/>
      <c r="F72" s="83"/>
      <c r="G72" s="83"/>
      <c r="H72" s="83"/>
      <c r="I72" s="83"/>
      <c r="J72" s="83"/>
      <c r="K72" s="82"/>
      <c r="L72" s="82"/>
      <c r="M72" s="82"/>
    </row>
    <row r="73" spans="1:15" x14ac:dyDescent="0.25">
      <c r="B73" s="303"/>
      <c r="C73" s="304" t="s">
        <v>41</v>
      </c>
      <c r="D73" s="80" t="s">
        <v>91</v>
      </c>
      <c r="E73" s="306" t="s">
        <v>42</v>
      </c>
      <c r="F73" s="308" t="s">
        <v>43</v>
      </c>
      <c r="G73" s="308" t="s">
        <v>107</v>
      </c>
      <c r="H73" s="297" t="s">
        <v>44</v>
      </c>
      <c r="I73" s="83"/>
      <c r="J73" s="89"/>
      <c r="K73" s="89"/>
      <c r="L73" s="89"/>
      <c r="M73" s="89"/>
      <c r="N73" s="39"/>
      <c r="O73" s="39"/>
    </row>
    <row r="74" spans="1:15" ht="15.75" thickBot="1" x14ac:dyDescent="0.3">
      <c r="A74" s="82"/>
      <c r="B74" s="303"/>
      <c r="C74" s="305"/>
      <c r="D74" s="181">
        <v>0.3</v>
      </c>
      <c r="E74" s="307"/>
      <c r="F74" s="309"/>
      <c r="G74" s="309"/>
      <c r="H74" s="298"/>
      <c r="I74" s="83"/>
      <c r="J74" s="90"/>
      <c r="K74" s="90"/>
      <c r="L74" s="90"/>
      <c r="M74" s="90"/>
      <c r="N74" s="40"/>
      <c r="O74" s="40"/>
    </row>
    <row r="75" spans="1:15" x14ac:dyDescent="0.25">
      <c r="A75" s="82"/>
      <c r="B75" s="182" t="s">
        <v>45</v>
      </c>
      <c r="C75" s="183">
        <f>(B38/B37*1000)</f>
        <v>2.2379935409938536</v>
      </c>
      <c r="D75" s="183">
        <f>C75*D74</f>
        <v>0.67139806229815602</v>
      </c>
      <c r="E75" s="184">
        <v>0.1</v>
      </c>
      <c r="F75" s="184">
        <v>0.2</v>
      </c>
      <c r="G75" s="185">
        <f>H70</f>
        <v>0.44075707290938054</v>
      </c>
      <c r="H75" s="186">
        <f>SUM(C75:G75)</f>
        <v>3.6501486762013902</v>
      </c>
      <c r="I75" s="83"/>
      <c r="J75" s="88"/>
      <c r="K75" s="88"/>
      <c r="L75" s="88"/>
      <c r="M75" s="88"/>
      <c r="N75" s="15"/>
      <c r="O75" s="15"/>
    </row>
    <row r="76" spans="1:15" x14ac:dyDescent="0.25">
      <c r="A76" s="82"/>
      <c r="B76" s="187" t="s">
        <v>46</v>
      </c>
      <c r="C76" s="91">
        <f>(C75/$E$35)*1000</f>
        <v>2.6853125000000002</v>
      </c>
      <c r="D76" s="91">
        <f>(D75/$E$35)*1000</f>
        <v>0.80559375</v>
      </c>
      <c r="E76" s="91">
        <f>(E75/$E$35)*1000</f>
        <v>0.11998750000000001</v>
      </c>
      <c r="F76" s="91">
        <f>(F75/$E$35)*1000</f>
        <v>0.23997500000000002</v>
      </c>
      <c r="G76" s="91">
        <f>(G75/$E$35)*1000</f>
        <v>0.52885339285714306</v>
      </c>
      <c r="H76" s="188">
        <f>SUM(C76:G76)</f>
        <v>4.3797221428571431</v>
      </c>
      <c r="I76" s="83"/>
      <c r="J76" s="88"/>
      <c r="K76" s="88"/>
      <c r="L76" s="88"/>
      <c r="M76" s="88"/>
      <c r="N76" s="15"/>
      <c r="O76" s="15"/>
    </row>
    <row r="77" spans="1:15" x14ac:dyDescent="0.25">
      <c r="A77" s="82"/>
      <c r="B77" s="187" t="s">
        <v>90</v>
      </c>
      <c r="C77" s="92">
        <f>(C75/$E$37)</f>
        <v>0.10741250000000001</v>
      </c>
      <c r="D77" s="92">
        <f t="shared" ref="D77:G77" si="2">(D75/$E$37)</f>
        <v>3.2223749999999995E-2</v>
      </c>
      <c r="E77" s="92">
        <f t="shared" si="2"/>
        <v>4.7994999999999999E-3</v>
      </c>
      <c r="F77" s="92">
        <f t="shared" si="2"/>
        <v>9.5989999999999999E-3</v>
      </c>
      <c r="G77" s="92">
        <f t="shared" si="2"/>
        <v>2.1154135714285718E-2</v>
      </c>
      <c r="H77" s="189">
        <f>SUM(C77:G77)</f>
        <v>0.17518888571428576</v>
      </c>
      <c r="I77" s="83"/>
      <c r="J77" s="93"/>
      <c r="K77" s="93"/>
      <c r="L77" s="93"/>
      <c r="M77" s="93"/>
      <c r="N77" s="41"/>
      <c r="O77" s="41"/>
    </row>
    <row r="78" spans="1:15" x14ac:dyDescent="0.25">
      <c r="A78" s="82"/>
      <c r="B78" s="187" t="s">
        <v>47</v>
      </c>
      <c r="C78" s="92">
        <f>(C75/$E$39)</f>
        <v>2.6853125000000002E-2</v>
      </c>
      <c r="D78" s="92">
        <f>(D75/$E$39)</f>
        <v>8.0559374999999989E-3</v>
      </c>
      <c r="E78" s="92">
        <f>(E75/$E$39)</f>
        <v>1.199875E-3</v>
      </c>
      <c r="F78" s="92">
        <f>(F75/$E$39)</f>
        <v>2.39975E-3</v>
      </c>
      <c r="G78" s="92">
        <f>(G75/$E$39)</f>
        <v>5.2885339285714296E-3</v>
      </c>
      <c r="H78" s="189">
        <f>SUM(C78:G78)</f>
        <v>4.379722142857144E-2</v>
      </c>
      <c r="I78" s="83"/>
      <c r="J78" s="93"/>
      <c r="K78" s="93"/>
      <c r="L78" s="93"/>
      <c r="M78" s="93"/>
      <c r="N78" s="41"/>
      <c r="O78" s="41"/>
    </row>
    <row r="79" spans="1:15" ht="15.75" thickBot="1" x14ac:dyDescent="0.3">
      <c r="B79" s="190" t="s">
        <v>154</v>
      </c>
      <c r="C79" s="191">
        <f>C78*500</f>
        <v>13.426562500000001</v>
      </c>
      <c r="D79" s="191">
        <f>D78*500</f>
        <v>4.0279687499999994</v>
      </c>
      <c r="E79" s="191">
        <f t="shared" ref="E79:G79" si="3">E78*500</f>
        <v>0.59993750000000001</v>
      </c>
      <c r="F79" s="191">
        <f t="shared" si="3"/>
        <v>1.199875</v>
      </c>
      <c r="G79" s="191">
        <f t="shared" si="3"/>
        <v>2.6442669642857148</v>
      </c>
      <c r="H79" s="192">
        <f>SUM(C79:G79)</f>
        <v>21.898610714285716</v>
      </c>
      <c r="I79" s="220"/>
      <c r="J79" s="221"/>
      <c r="K79" s="41"/>
      <c r="L79" s="41"/>
      <c r="M79" s="41"/>
      <c r="N79" s="41"/>
      <c r="O79" s="41"/>
    </row>
    <row r="80" spans="1:15" x14ac:dyDescent="0.25">
      <c r="A80" s="54"/>
      <c r="B80" s="41"/>
      <c r="C80" s="41"/>
      <c r="D80" s="41"/>
      <c r="E80" s="41"/>
      <c r="F80" s="41"/>
      <c r="G80" s="41"/>
      <c r="H80" s="10"/>
      <c r="I80" s="41"/>
      <c r="J80" s="41"/>
      <c r="K80" s="41"/>
      <c r="L80" s="41"/>
      <c r="M80" s="41"/>
      <c r="N80" s="41"/>
    </row>
    <row r="81" spans="1:25" x14ac:dyDescent="0.25">
      <c r="A81" s="54"/>
      <c r="B81" s="41"/>
      <c r="C81" s="41"/>
      <c r="D81" s="41"/>
      <c r="E81" s="41"/>
      <c r="F81" s="41"/>
      <c r="G81" s="41"/>
      <c r="H81" s="10"/>
      <c r="I81" s="41"/>
      <c r="J81" s="41"/>
      <c r="K81" s="41"/>
      <c r="L81" s="41"/>
      <c r="M81" s="41"/>
      <c r="N81" s="41"/>
    </row>
    <row r="82" spans="1:25" ht="26.25" x14ac:dyDescent="0.25">
      <c r="A82" s="54"/>
      <c r="B82" s="41"/>
      <c r="C82" s="41"/>
      <c r="D82" s="41"/>
      <c r="E82" s="41"/>
      <c r="F82" s="41"/>
      <c r="G82" s="10"/>
      <c r="H82" s="291"/>
      <c r="I82" s="291"/>
      <c r="J82" s="291"/>
      <c r="K82" s="41"/>
      <c r="L82" s="41"/>
      <c r="M82" s="41"/>
      <c r="N82" s="41"/>
    </row>
    <row r="83" spans="1:25" ht="18.75" x14ac:dyDescent="0.3">
      <c r="A83" s="54"/>
      <c r="B83" s="292" t="s">
        <v>136</v>
      </c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41"/>
      <c r="N83" s="41"/>
    </row>
    <row r="84" spans="1:25" x14ac:dyDescent="0.25">
      <c r="A84" s="54"/>
      <c r="B84" s="41"/>
      <c r="C84" s="41"/>
      <c r="D84" s="41"/>
      <c r="E84" s="41"/>
      <c r="F84" s="41"/>
      <c r="G84" s="10"/>
      <c r="H84" s="41"/>
      <c r="I84" s="41"/>
      <c r="J84" s="41"/>
      <c r="K84" s="41"/>
      <c r="L84" s="41"/>
      <c r="M84" s="41"/>
      <c r="N84" s="41"/>
    </row>
    <row r="85" spans="1:25" ht="15.75" x14ac:dyDescent="0.25">
      <c r="A85" s="54"/>
      <c r="B85" s="150" t="s">
        <v>137</v>
      </c>
      <c r="C85" s="138">
        <v>10500</v>
      </c>
      <c r="D85" s="139" t="s">
        <v>2</v>
      </c>
      <c r="E85" s="41"/>
      <c r="F85" s="41"/>
      <c r="G85" s="10"/>
      <c r="H85" s="41"/>
      <c r="I85" s="41"/>
      <c r="J85" s="41"/>
      <c r="K85" s="41"/>
      <c r="L85" s="41"/>
      <c r="M85" s="41"/>
      <c r="N85" s="41"/>
    </row>
    <row r="86" spans="1:25" x14ac:dyDescent="0.25">
      <c r="A86" s="54"/>
      <c r="B86" s="41"/>
      <c r="C86" s="41"/>
      <c r="D86" s="41"/>
      <c r="E86" s="41"/>
      <c r="F86" s="41"/>
      <c r="G86" s="10"/>
      <c r="H86" s="41"/>
      <c r="I86" s="41"/>
      <c r="J86" s="41"/>
      <c r="K86" s="41"/>
      <c r="L86" s="41"/>
      <c r="M86" s="41"/>
      <c r="N86" s="41"/>
      <c r="R86" s="20"/>
      <c r="S86" s="20"/>
    </row>
    <row r="87" spans="1:25" ht="14.25" customHeight="1" x14ac:dyDescent="0.25">
      <c r="A87" s="54"/>
      <c r="B87" s="41"/>
      <c r="C87" s="41"/>
      <c r="D87" s="41"/>
      <c r="E87" s="41"/>
      <c r="F87" s="41"/>
      <c r="G87" s="10"/>
      <c r="H87" s="214"/>
      <c r="I87" s="214"/>
      <c r="J87" s="17"/>
      <c r="K87" s="214"/>
      <c r="L87" s="214"/>
      <c r="M87" s="41"/>
      <c r="N87" s="41"/>
      <c r="S87" s="130"/>
    </row>
    <row r="88" spans="1:25" x14ac:dyDescent="0.25">
      <c r="A88" s="54"/>
      <c r="B88" s="41"/>
      <c r="C88" s="41"/>
      <c r="D88" s="41"/>
      <c r="E88" s="41"/>
      <c r="F88" s="41"/>
      <c r="G88" s="10"/>
      <c r="H88" s="293"/>
      <c r="I88" s="293"/>
      <c r="J88" s="213"/>
      <c r="K88" s="293"/>
      <c r="L88" s="293"/>
      <c r="M88" s="41"/>
      <c r="N88" s="41"/>
      <c r="S88" s="130"/>
    </row>
    <row r="89" spans="1:25" ht="15.75" thickBot="1" x14ac:dyDescent="0.3">
      <c r="A89" s="54"/>
      <c r="B89" s="41"/>
      <c r="C89" s="41"/>
      <c r="D89" s="41"/>
      <c r="E89" s="41"/>
      <c r="F89" s="41"/>
      <c r="G89" s="10"/>
      <c r="M89" s="41"/>
      <c r="N89" s="41"/>
    </row>
    <row r="90" spans="1:25" ht="30.75" thickBot="1" x14ac:dyDescent="0.3">
      <c r="A90" s="54"/>
      <c r="B90" s="155" t="s">
        <v>12</v>
      </c>
      <c r="C90" s="156" t="s">
        <v>138</v>
      </c>
      <c r="D90" s="156" t="s">
        <v>16</v>
      </c>
      <c r="E90" s="157" t="s">
        <v>140</v>
      </c>
      <c r="F90" s="164" t="s">
        <v>149</v>
      </c>
      <c r="G90" s="10"/>
      <c r="M90" s="41"/>
      <c r="N90" s="41"/>
    </row>
    <row r="91" spans="1:25" x14ac:dyDescent="0.25">
      <c r="A91" s="54"/>
      <c r="B91" s="143" t="str">
        <f t="shared" ref="B91:B103" si="4">IF(ISTEXT(B25), B25, "")</f>
        <v>LDPE Transparent</v>
      </c>
      <c r="C91" s="152">
        <v>1700</v>
      </c>
      <c r="D91" s="144">
        <f t="shared" ref="D91:D103" si="5">IF(B91&lt;&gt;"", G25, "")</f>
        <v>1.7</v>
      </c>
      <c r="E91" s="145">
        <f>IFERROR(D91*C91,"")</f>
        <v>2890</v>
      </c>
      <c r="F91" s="163">
        <f>IFERROR(E91/$E$105,"")</f>
        <v>0.43920972644376899</v>
      </c>
      <c r="G91" s="10"/>
      <c r="M91" s="41"/>
      <c r="N91" s="41"/>
      <c r="O91" s="41"/>
      <c r="X91" s="101"/>
      <c r="Y91" s="101"/>
    </row>
    <row r="92" spans="1:25" x14ac:dyDescent="0.25">
      <c r="A92" s="54"/>
      <c r="B92" s="146" t="str">
        <f t="shared" si="4"/>
        <v>All Colors</v>
      </c>
      <c r="C92" s="153">
        <v>150</v>
      </c>
      <c r="D92" s="142">
        <f t="shared" si="5"/>
        <v>4.5999999999999996</v>
      </c>
      <c r="E92" s="147">
        <f t="shared" ref="E92:E104" si="6">IFERROR(D92*C92,"")</f>
        <v>690</v>
      </c>
      <c r="F92" s="163">
        <f t="shared" ref="F92:F104" si="7">IFERROR(E92/$E$105,"")</f>
        <v>0.10486322188449848</v>
      </c>
      <c r="G92" s="10"/>
      <c r="M92" s="41"/>
      <c r="N92" s="41"/>
      <c r="O92" s="41"/>
      <c r="Q92" s="294" t="s">
        <v>159</v>
      </c>
      <c r="R92" s="294"/>
      <c r="S92" s="112">
        <f>H75</f>
        <v>3.6501486762013902</v>
      </c>
      <c r="T92" s="210" t="s">
        <v>162</v>
      </c>
    </row>
    <row r="93" spans="1:25" x14ac:dyDescent="0.25">
      <c r="B93" s="146" t="str">
        <f t="shared" si="4"/>
        <v/>
      </c>
      <c r="C93" s="153">
        <v>605</v>
      </c>
      <c r="D93" s="142" t="str">
        <f t="shared" si="5"/>
        <v/>
      </c>
      <c r="E93" s="147" t="str">
        <f t="shared" si="6"/>
        <v/>
      </c>
      <c r="F93" s="163" t="str">
        <f t="shared" si="7"/>
        <v/>
      </c>
      <c r="K93" s="2"/>
      <c r="L93" s="2"/>
    </row>
    <row r="94" spans="1:25" x14ac:dyDescent="0.25">
      <c r="A94" s="53"/>
      <c r="B94" s="146" t="str">
        <f t="shared" si="4"/>
        <v/>
      </c>
      <c r="C94" s="153">
        <v>9300</v>
      </c>
      <c r="D94" s="142" t="str">
        <f t="shared" si="5"/>
        <v/>
      </c>
      <c r="E94" s="147" t="str">
        <f t="shared" si="6"/>
        <v/>
      </c>
      <c r="F94" s="163" t="str">
        <f t="shared" si="7"/>
        <v/>
      </c>
      <c r="L94" s="43"/>
      <c r="R94" s="215" t="s">
        <v>45</v>
      </c>
      <c r="S94" s="216" t="s">
        <v>160</v>
      </c>
      <c r="T94" s="295" t="s">
        <v>148</v>
      </c>
      <c r="U94" s="296"/>
    </row>
    <row r="95" spans="1:25" x14ac:dyDescent="0.25">
      <c r="A95" s="53"/>
      <c r="B95" s="146" t="str">
        <f t="shared" si="4"/>
        <v/>
      </c>
      <c r="C95" s="153"/>
      <c r="D95" s="142" t="str">
        <f t="shared" si="5"/>
        <v/>
      </c>
      <c r="E95" s="147" t="str">
        <f t="shared" si="6"/>
        <v/>
      </c>
      <c r="F95" s="163" t="str">
        <f t="shared" si="7"/>
        <v/>
      </c>
      <c r="I95" s="3"/>
      <c r="Q95" s="212" t="s">
        <v>161</v>
      </c>
      <c r="R95" s="175">
        <f>C75+H70</f>
        <v>2.678750613903234</v>
      </c>
      <c r="S95" s="211">
        <f>R95/S92</f>
        <v>0.7338743847253193</v>
      </c>
      <c r="T95" s="287">
        <f>R96-R95</f>
        <v>-1.1330363281889482</v>
      </c>
      <c r="U95" s="289">
        <f>(R96-R95)/R95</f>
        <v>-0.42297193412043299</v>
      </c>
    </row>
    <row r="96" spans="1:25" x14ac:dyDescent="0.25">
      <c r="A96" s="53"/>
      <c r="B96" s="146" t="str">
        <f t="shared" si="4"/>
        <v/>
      </c>
      <c r="C96" s="153"/>
      <c r="D96" s="142" t="str">
        <f t="shared" si="5"/>
        <v/>
      </c>
      <c r="E96" s="147" t="str">
        <f t="shared" si="6"/>
        <v/>
      </c>
      <c r="F96" s="163" t="str">
        <f t="shared" si="7"/>
        <v/>
      </c>
      <c r="I96" s="3"/>
      <c r="Q96" s="212" t="s">
        <v>158</v>
      </c>
      <c r="R96" s="175">
        <f>E106+E122</f>
        <v>1.5457142857142858</v>
      </c>
      <c r="S96" s="211">
        <f>R96/S92</f>
        <v>0.42346611681660823</v>
      </c>
      <c r="T96" s="288"/>
      <c r="U96" s="289"/>
    </row>
    <row r="97" spans="1:19" x14ac:dyDescent="0.25">
      <c r="A97" s="53"/>
      <c r="B97" s="146" t="str">
        <f t="shared" si="4"/>
        <v/>
      </c>
      <c r="C97" s="153"/>
      <c r="D97" s="142" t="str">
        <f t="shared" si="5"/>
        <v/>
      </c>
      <c r="E97" s="147" t="str">
        <f t="shared" si="6"/>
        <v/>
      </c>
      <c r="F97" s="163" t="str">
        <f t="shared" si="7"/>
        <v/>
      </c>
      <c r="Q97" s="219" t="s">
        <v>156</v>
      </c>
      <c r="R97" s="217">
        <f>S92-R95</f>
        <v>0.97139806229815617</v>
      </c>
      <c r="S97" s="218">
        <f>R97/S92</f>
        <v>0.2661256152746807</v>
      </c>
    </row>
    <row r="98" spans="1:19" x14ac:dyDescent="0.25">
      <c r="A98" s="53"/>
      <c r="B98" s="146" t="str">
        <f t="shared" si="4"/>
        <v/>
      </c>
      <c r="C98" s="153"/>
      <c r="D98" s="142" t="str">
        <f t="shared" si="5"/>
        <v/>
      </c>
      <c r="E98" s="147" t="str">
        <f t="shared" si="6"/>
        <v/>
      </c>
      <c r="F98" s="163" t="str">
        <f t="shared" si="7"/>
        <v/>
      </c>
      <c r="Q98" s="212" t="s">
        <v>157</v>
      </c>
      <c r="R98" s="175">
        <f>S92-R96</f>
        <v>2.1044343904871043</v>
      </c>
      <c r="S98" s="211">
        <f>R98/S92</f>
        <v>0.57653388318339172</v>
      </c>
    </row>
    <row r="99" spans="1:19" x14ac:dyDescent="0.25">
      <c r="A99" s="53"/>
      <c r="B99" s="146" t="str">
        <f t="shared" si="4"/>
        <v/>
      </c>
      <c r="C99" s="153"/>
      <c r="D99" s="142" t="str">
        <f t="shared" si="5"/>
        <v/>
      </c>
      <c r="E99" s="147" t="str">
        <f t="shared" si="6"/>
        <v/>
      </c>
      <c r="F99" s="163" t="str">
        <f t="shared" si="7"/>
        <v/>
      </c>
    </row>
    <row r="100" spans="1:19" x14ac:dyDescent="0.25">
      <c r="A100" s="53"/>
      <c r="B100" s="146" t="str">
        <f t="shared" si="4"/>
        <v/>
      </c>
      <c r="C100" s="153"/>
      <c r="D100" s="142" t="str">
        <f t="shared" si="5"/>
        <v/>
      </c>
      <c r="E100" s="147" t="str">
        <f t="shared" si="6"/>
        <v/>
      </c>
      <c r="F100" s="163" t="str">
        <f t="shared" si="7"/>
        <v/>
      </c>
    </row>
    <row r="101" spans="1:19" x14ac:dyDescent="0.25">
      <c r="A101" s="53"/>
      <c r="B101" s="146" t="str">
        <f t="shared" si="4"/>
        <v/>
      </c>
      <c r="C101" s="153"/>
      <c r="D101" s="142" t="str">
        <f t="shared" si="5"/>
        <v/>
      </c>
      <c r="E101" s="147" t="str">
        <f t="shared" si="6"/>
        <v/>
      </c>
      <c r="F101" s="163" t="str">
        <f t="shared" si="7"/>
        <v/>
      </c>
    </row>
    <row r="102" spans="1:19" x14ac:dyDescent="0.25">
      <c r="A102" s="53"/>
      <c r="B102" s="146" t="str">
        <f t="shared" si="4"/>
        <v/>
      </c>
      <c r="C102" s="153"/>
      <c r="D102" s="142" t="str">
        <f t="shared" si="5"/>
        <v/>
      </c>
      <c r="E102" s="147" t="str">
        <f t="shared" si="6"/>
        <v/>
      </c>
      <c r="F102" s="163" t="str">
        <f t="shared" si="7"/>
        <v/>
      </c>
    </row>
    <row r="103" spans="1:19" x14ac:dyDescent="0.25">
      <c r="A103" s="53"/>
      <c r="B103" s="146" t="str">
        <f t="shared" si="4"/>
        <v/>
      </c>
      <c r="C103" s="153"/>
      <c r="D103" s="142" t="str">
        <f t="shared" si="5"/>
        <v/>
      </c>
      <c r="E103" s="147" t="str">
        <f t="shared" si="6"/>
        <v/>
      </c>
      <c r="F103" s="163" t="str">
        <f t="shared" si="7"/>
        <v/>
      </c>
    </row>
    <row r="104" spans="1:19" ht="15.75" thickBot="1" x14ac:dyDescent="0.3">
      <c r="B104" s="148" t="s">
        <v>139</v>
      </c>
      <c r="C104" s="154">
        <v>2000</v>
      </c>
      <c r="D104" s="151">
        <f>G31</f>
        <v>1.5</v>
      </c>
      <c r="E104" s="149">
        <f t="shared" si="6"/>
        <v>3000</v>
      </c>
      <c r="F104" s="163">
        <f t="shared" si="7"/>
        <v>0.45592705167173253</v>
      </c>
    </row>
    <row r="105" spans="1:19" x14ac:dyDescent="0.25">
      <c r="B105" s="41"/>
      <c r="E105" s="141">
        <f>SUM(E91:E104)</f>
        <v>6580</v>
      </c>
    </row>
    <row r="106" spans="1:19" x14ac:dyDescent="0.25">
      <c r="B106" s="41"/>
      <c r="D106" s="87" t="s">
        <v>141</v>
      </c>
      <c r="E106" s="140">
        <f>E105/C85</f>
        <v>0.62666666666666671</v>
      </c>
    </row>
    <row r="107" spans="1:19" x14ac:dyDescent="0.25">
      <c r="B107" s="41"/>
      <c r="D107" s="87" t="s">
        <v>142</v>
      </c>
      <c r="E107" s="159">
        <f>(E106-C75)/C75</f>
        <v>-0.71998727646534</v>
      </c>
    </row>
    <row r="108" spans="1:19" x14ac:dyDescent="0.25">
      <c r="B108" s="41"/>
    </row>
    <row r="109" spans="1:19" ht="15.75" thickBot="1" x14ac:dyDescent="0.3">
      <c r="B109" s="41"/>
      <c r="E109" s="4"/>
    </row>
    <row r="110" spans="1:19" ht="30.75" thickBot="1" x14ac:dyDescent="0.3">
      <c r="B110" s="155" t="s">
        <v>143</v>
      </c>
      <c r="C110" s="155" t="s">
        <v>144</v>
      </c>
      <c r="D110" s="155" t="s">
        <v>96</v>
      </c>
      <c r="E110" s="157" t="s">
        <v>140</v>
      </c>
      <c r="F110" s="164" t="s">
        <v>149</v>
      </c>
    </row>
    <row r="111" spans="1:19" x14ac:dyDescent="0.25">
      <c r="B111" s="143" t="str">
        <f t="shared" ref="B111:B120" si="8">IF(A60=TRUE, B60, "")</f>
        <v>Extrusion</v>
      </c>
      <c r="C111" s="116">
        <v>13</v>
      </c>
      <c r="D111" s="158">
        <f t="shared" ref="D111:D120" si="9">IF(B111&lt;&gt;"", F60, "")</f>
        <v>300</v>
      </c>
      <c r="E111" s="145">
        <f>IFERROR(D111*C111,"")</f>
        <v>3900</v>
      </c>
      <c r="F111" s="163">
        <f>IFERROR(E111/$E$121,"")</f>
        <v>0.40414507772020725</v>
      </c>
    </row>
    <row r="112" spans="1:19" x14ac:dyDescent="0.25">
      <c r="B112" s="146" t="str">
        <f t="shared" si="8"/>
        <v>Printing</v>
      </c>
      <c r="C112" s="112">
        <v>7</v>
      </c>
      <c r="D112" s="160">
        <f t="shared" si="9"/>
        <v>300</v>
      </c>
      <c r="E112" s="147">
        <f t="shared" ref="E112:E120" si="10">IFERROR(D112*C112,"")</f>
        <v>2100</v>
      </c>
      <c r="F112" s="163">
        <f t="shared" ref="F112:F120" si="11">IFERROR(E112/$E$121,"")</f>
        <v>0.21761658031088082</v>
      </c>
    </row>
    <row r="113" spans="2:6" x14ac:dyDescent="0.25">
      <c r="B113" s="146" t="str">
        <f t="shared" si="8"/>
        <v>Rewinding</v>
      </c>
      <c r="C113" s="112">
        <v>4</v>
      </c>
      <c r="D113" s="160">
        <f t="shared" si="9"/>
        <v>50</v>
      </c>
      <c r="E113" s="147">
        <f t="shared" si="10"/>
        <v>200</v>
      </c>
      <c r="F113" s="163">
        <f t="shared" si="11"/>
        <v>2.072538860103627E-2</v>
      </c>
    </row>
    <row r="114" spans="2:6" x14ac:dyDescent="0.25">
      <c r="B114" s="146" t="str">
        <f t="shared" si="8"/>
        <v>Lamination 1</v>
      </c>
      <c r="C114" s="112">
        <v>10</v>
      </c>
      <c r="D114" s="160">
        <f t="shared" si="9"/>
        <v>100</v>
      </c>
      <c r="E114" s="147">
        <f t="shared" si="10"/>
        <v>1000</v>
      </c>
      <c r="F114" s="163">
        <f t="shared" si="11"/>
        <v>0.10362694300518134</v>
      </c>
    </row>
    <row r="115" spans="2:6" x14ac:dyDescent="0.25">
      <c r="B115" s="146" t="str">
        <f t="shared" si="8"/>
        <v>Lamination 2</v>
      </c>
      <c r="C115" s="112">
        <v>10</v>
      </c>
      <c r="D115" s="160">
        <f t="shared" si="9"/>
        <v>100</v>
      </c>
      <c r="E115" s="147">
        <f t="shared" si="10"/>
        <v>1000</v>
      </c>
      <c r="F115" s="163">
        <f t="shared" si="11"/>
        <v>0.10362694300518134</v>
      </c>
    </row>
    <row r="116" spans="2:6" x14ac:dyDescent="0.25">
      <c r="B116" s="146" t="str">
        <f t="shared" si="8"/>
        <v>Lamination 3</v>
      </c>
      <c r="C116" s="112">
        <v>10</v>
      </c>
      <c r="D116" s="160">
        <f t="shared" si="9"/>
        <v>100</v>
      </c>
      <c r="E116" s="147">
        <f t="shared" si="10"/>
        <v>1000</v>
      </c>
      <c r="F116" s="163">
        <f t="shared" si="11"/>
        <v>0.10362694300518134</v>
      </c>
    </row>
    <row r="117" spans="2:6" x14ac:dyDescent="0.25">
      <c r="B117" s="146" t="str">
        <f t="shared" si="8"/>
        <v>Slitting</v>
      </c>
      <c r="C117" s="112">
        <v>9</v>
      </c>
      <c r="D117" s="160">
        <f t="shared" si="9"/>
        <v>50</v>
      </c>
      <c r="E117" s="147">
        <f t="shared" si="10"/>
        <v>450</v>
      </c>
      <c r="F117" s="163">
        <f t="shared" si="11"/>
        <v>4.6632124352331605E-2</v>
      </c>
    </row>
    <row r="118" spans="2:6" x14ac:dyDescent="0.25">
      <c r="B118" s="146" t="str">
        <f t="shared" si="8"/>
        <v/>
      </c>
      <c r="C118" s="112">
        <v>0</v>
      </c>
      <c r="D118" s="160" t="str">
        <f t="shared" si="9"/>
        <v/>
      </c>
      <c r="E118" s="147" t="str">
        <f t="shared" si="10"/>
        <v/>
      </c>
      <c r="F118" s="163" t="str">
        <f t="shared" si="11"/>
        <v/>
      </c>
    </row>
    <row r="119" spans="2:6" x14ac:dyDescent="0.25">
      <c r="B119" s="146" t="str">
        <f t="shared" si="8"/>
        <v/>
      </c>
      <c r="C119" s="112">
        <v>0</v>
      </c>
      <c r="D119" s="160" t="str">
        <f t="shared" si="9"/>
        <v/>
      </c>
      <c r="E119" s="147" t="str">
        <f t="shared" si="10"/>
        <v/>
      </c>
      <c r="F119" s="163" t="str">
        <f t="shared" si="11"/>
        <v/>
      </c>
    </row>
    <row r="120" spans="2:6" ht="15.75" thickBot="1" x14ac:dyDescent="0.3">
      <c r="B120" s="148" t="str">
        <f t="shared" si="8"/>
        <v/>
      </c>
      <c r="C120" s="121">
        <v>0</v>
      </c>
      <c r="D120" s="161" t="str">
        <f t="shared" si="9"/>
        <v/>
      </c>
      <c r="E120" s="149" t="str">
        <f t="shared" si="10"/>
        <v/>
      </c>
      <c r="F120" s="163" t="str">
        <f t="shared" si="11"/>
        <v/>
      </c>
    </row>
    <row r="121" spans="2:6" x14ac:dyDescent="0.25">
      <c r="B121" s="41"/>
      <c r="E121" s="141">
        <f>SUM(E111:E120)</f>
        <v>9650</v>
      </c>
    </row>
    <row r="122" spans="2:6" x14ac:dyDescent="0.25">
      <c r="B122" s="290" t="s">
        <v>145</v>
      </c>
      <c r="C122" s="290"/>
      <c r="D122" s="290"/>
      <c r="E122" s="140">
        <f>E121/C85</f>
        <v>0.919047619047619</v>
      </c>
    </row>
    <row r="123" spans="2:6" x14ac:dyDescent="0.25">
      <c r="B123" s="290" t="s">
        <v>142</v>
      </c>
      <c r="C123" s="290"/>
      <c r="D123" s="290"/>
      <c r="E123" s="159">
        <f>(E122-H70)/H70</f>
        <v>1.0851568256888184</v>
      </c>
    </row>
  </sheetData>
  <mergeCells count="73">
    <mergeCell ref="A5:B5"/>
    <mergeCell ref="C5:E5"/>
    <mergeCell ref="G5:H5"/>
    <mergeCell ref="I5:J5"/>
    <mergeCell ref="K5:L5"/>
    <mergeCell ref="A1:L1"/>
    <mergeCell ref="A3:B3"/>
    <mergeCell ref="C3:E3"/>
    <mergeCell ref="G3:H3"/>
    <mergeCell ref="I3:L3"/>
    <mergeCell ref="A9:C9"/>
    <mergeCell ref="A10:C10"/>
    <mergeCell ref="O10:P10"/>
    <mergeCell ref="A12:C12"/>
    <mergeCell ref="I12:K12"/>
    <mergeCell ref="M12:N12"/>
    <mergeCell ref="A13:B13"/>
    <mergeCell ref="E13:F13"/>
    <mergeCell ref="I13:J13"/>
    <mergeCell ref="A14:B14"/>
    <mergeCell ref="E14:F14"/>
    <mergeCell ref="I14:J14"/>
    <mergeCell ref="M14:N14"/>
    <mergeCell ref="A15:B15"/>
    <mergeCell ref="E15:F15"/>
    <mergeCell ref="M15:N15"/>
    <mergeCell ref="A16:B16"/>
    <mergeCell ref="I16:J16"/>
    <mergeCell ref="M16:N16"/>
    <mergeCell ref="A17:B17"/>
    <mergeCell ref="E17:F17"/>
    <mergeCell ref="M17:N17"/>
    <mergeCell ref="M18:N18"/>
    <mergeCell ref="C21:C23"/>
    <mergeCell ref="E21:E23"/>
    <mergeCell ref="F21:F23"/>
    <mergeCell ref="G21:G23"/>
    <mergeCell ref="H21:H23"/>
    <mergeCell ref="A47:C47"/>
    <mergeCell ref="A31:D31"/>
    <mergeCell ref="C35:D35"/>
    <mergeCell ref="F35:H35"/>
    <mergeCell ref="C36:D36"/>
    <mergeCell ref="F36:H36"/>
    <mergeCell ref="C37:D37"/>
    <mergeCell ref="F37:H37"/>
    <mergeCell ref="C38:D38"/>
    <mergeCell ref="F38:H38"/>
    <mergeCell ref="C39:D39"/>
    <mergeCell ref="A44:C44"/>
    <mergeCell ref="A46:C46"/>
    <mergeCell ref="H73:H74"/>
    <mergeCell ref="A48:C48"/>
    <mergeCell ref="A49:C49"/>
    <mergeCell ref="A50:C50"/>
    <mergeCell ref="A52:C52"/>
    <mergeCell ref="A53:C53"/>
    <mergeCell ref="H60:H69"/>
    <mergeCell ref="B73:B74"/>
    <mergeCell ref="C73:C74"/>
    <mergeCell ref="E73:E74"/>
    <mergeCell ref="F73:F74"/>
    <mergeCell ref="G73:G74"/>
    <mergeCell ref="T95:T96"/>
    <mergeCell ref="U95:U96"/>
    <mergeCell ref="B122:D122"/>
    <mergeCell ref="B123:D123"/>
    <mergeCell ref="H82:J82"/>
    <mergeCell ref="B83:L83"/>
    <mergeCell ref="H88:I88"/>
    <mergeCell ref="K88:L88"/>
    <mergeCell ref="Q92:R92"/>
    <mergeCell ref="T94:U94"/>
  </mergeCells>
  <dataValidations count="3">
    <dataValidation type="list" allowBlank="1" showInputMessage="1" showErrorMessage="1" sqref="K5" xr:uid="{5C2F12C3-696A-4D06-9C34-8B4F07F5489F}">
      <formula1>Unit</formula1>
    </dataValidation>
    <dataValidation type="list" allowBlank="1" showInputMessage="1" showErrorMessage="1" sqref="A25:A30" xr:uid="{3A11E99D-4910-4668-AAA1-85A0C1259B62}">
      <formula1>Type</formula1>
    </dataValidation>
    <dataValidation type="list" allowBlank="1" showInputMessage="1" showErrorMessage="1" sqref="B25:B30" xr:uid="{705EF605-EB80-4FD9-B1AA-DC254FDA56F6}">
      <formula1>INDIRECT($A25)</formula1>
    </dataValidation>
  </dataValidations>
  <pageMargins left="0.11811023622047245" right="0.11811023622047245" top="0.31496062992125984" bottom="0.19685039370078741" header="0.31496062992125984" footer="0.31496062992125984"/>
  <pageSetup paperSize="9" scale="61" orientation="portrait" r:id="rId1"/>
  <rowBreaks count="1" manualBreakCount="1">
    <brk id="79" max="11" man="1"/>
  </rowBreaks>
  <colBreaks count="1" manualBreakCount="1">
    <brk id="13" max="1048575" man="1"/>
  </colBreak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DB2464-BE33-402F-B625-1E68FC4DC688}">
          <x14:formula1>
            <xm:f>Data!$K$2:$K$4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07BB-02D0-4AF9-8BEB-9FE7CE591B3C}">
  <dimension ref="A1:F46"/>
  <sheetViews>
    <sheetView zoomScaleNormal="100" workbookViewId="0">
      <pane ySplit="1" topLeftCell="A22" activePane="bottomLeft" state="frozen"/>
      <selection pane="bottomLeft" activeCell="L32" sqref="L32"/>
    </sheetView>
  </sheetViews>
  <sheetFormatPr defaultColWidth="8.7109375" defaultRowHeight="15" x14ac:dyDescent="0.25"/>
  <cols>
    <col min="1" max="1" width="17.5703125" style="243" customWidth="1"/>
    <col min="2" max="2" width="28.7109375" style="243" bestFit="1" customWidth="1"/>
    <col min="3" max="3" width="16.5703125" style="243" customWidth="1"/>
    <col min="4" max="4" width="30" style="243" customWidth="1"/>
    <col min="5" max="5" width="12" style="243" customWidth="1"/>
    <col min="6" max="6" width="16.42578125" style="243" customWidth="1"/>
    <col min="7" max="16384" width="8.7109375" style="243"/>
  </cols>
  <sheetData>
    <row r="1" spans="1:6" x14ac:dyDescent="0.25">
      <c r="A1" s="258" t="s">
        <v>250</v>
      </c>
      <c r="B1" s="259" t="s">
        <v>251</v>
      </c>
      <c r="C1" s="259" t="s">
        <v>252</v>
      </c>
      <c r="D1" s="259" t="s">
        <v>281</v>
      </c>
      <c r="E1" s="259" t="s">
        <v>323</v>
      </c>
      <c r="F1" s="260" t="s">
        <v>324</v>
      </c>
    </row>
    <row r="2" spans="1:6" x14ac:dyDescent="0.25">
      <c r="A2" s="256" t="s">
        <v>253</v>
      </c>
      <c r="B2" s="254" t="s">
        <v>115</v>
      </c>
      <c r="C2" s="265">
        <v>0.91</v>
      </c>
      <c r="D2" s="254" t="str">
        <f>B2</f>
        <v>BOPP Transparent</v>
      </c>
      <c r="E2" s="255"/>
      <c r="F2" s="257"/>
    </row>
    <row r="3" spans="1:6" x14ac:dyDescent="0.25">
      <c r="A3" s="256" t="s">
        <v>253</v>
      </c>
      <c r="B3" s="254" t="s">
        <v>242</v>
      </c>
      <c r="C3" s="265">
        <v>0.91</v>
      </c>
      <c r="D3" s="254" t="s">
        <v>282</v>
      </c>
      <c r="E3" s="255"/>
      <c r="F3" s="257"/>
    </row>
    <row r="4" spans="1:6" x14ac:dyDescent="0.25">
      <c r="A4" s="256" t="s">
        <v>253</v>
      </c>
      <c r="B4" s="254" t="s">
        <v>280</v>
      </c>
      <c r="C4" s="265">
        <v>0.95</v>
      </c>
      <c r="D4" s="254" t="s">
        <v>293</v>
      </c>
      <c r="E4" s="255"/>
      <c r="F4" s="257"/>
    </row>
    <row r="5" spans="1:6" x14ac:dyDescent="0.25">
      <c r="A5" s="256" t="s">
        <v>253</v>
      </c>
      <c r="B5" s="254" t="s">
        <v>20</v>
      </c>
      <c r="C5" s="265">
        <v>0.7</v>
      </c>
      <c r="D5" s="254" t="s">
        <v>283</v>
      </c>
      <c r="E5" s="255"/>
      <c r="F5" s="257"/>
    </row>
    <row r="6" spans="1:6" x14ac:dyDescent="0.25">
      <c r="A6" s="256" t="s">
        <v>253</v>
      </c>
      <c r="B6" s="254" t="s">
        <v>116</v>
      </c>
      <c r="C6" s="265">
        <v>0.91</v>
      </c>
      <c r="D6" s="254" t="s">
        <v>284</v>
      </c>
      <c r="E6" s="255"/>
      <c r="F6" s="257"/>
    </row>
    <row r="7" spans="1:6" x14ac:dyDescent="0.25">
      <c r="A7" s="256" t="s">
        <v>253</v>
      </c>
      <c r="B7" s="254" t="s">
        <v>243</v>
      </c>
      <c r="C7" s="265">
        <v>0.91</v>
      </c>
      <c r="D7" s="254" t="s">
        <v>256</v>
      </c>
      <c r="E7" s="255"/>
      <c r="F7" s="257"/>
    </row>
    <row r="8" spans="1:6" x14ac:dyDescent="0.25">
      <c r="A8" s="256" t="s">
        <v>253</v>
      </c>
      <c r="B8" s="254" t="s">
        <v>255</v>
      </c>
      <c r="C8" s="265">
        <v>0.91</v>
      </c>
      <c r="D8" s="254" t="s">
        <v>285</v>
      </c>
      <c r="E8" s="255"/>
      <c r="F8" s="257"/>
    </row>
    <row r="9" spans="1:6" x14ac:dyDescent="0.25">
      <c r="A9" s="256" t="s">
        <v>253</v>
      </c>
      <c r="B9" s="254" t="s">
        <v>245</v>
      </c>
      <c r="C9" s="265">
        <v>0.62</v>
      </c>
      <c r="D9" s="254" t="s">
        <v>286</v>
      </c>
      <c r="E9" s="255"/>
      <c r="F9" s="257"/>
    </row>
    <row r="10" spans="1:6" x14ac:dyDescent="0.25">
      <c r="A10" s="256" t="s">
        <v>253</v>
      </c>
      <c r="B10" s="254" t="s">
        <v>257</v>
      </c>
      <c r="C10" s="265">
        <v>0.91</v>
      </c>
      <c r="D10" s="254" t="s">
        <v>287</v>
      </c>
      <c r="E10" s="255"/>
      <c r="F10" s="257"/>
    </row>
    <row r="11" spans="1:6" x14ac:dyDescent="0.25">
      <c r="A11" s="256" t="s">
        <v>258</v>
      </c>
      <c r="B11" s="254" t="s">
        <v>121</v>
      </c>
      <c r="C11" s="265">
        <v>1.4</v>
      </c>
      <c r="D11" s="254" t="s">
        <v>288</v>
      </c>
      <c r="E11" s="255"/>
      <c r="F11" s="257"/>
    </row>
    <row r="12" spans="1:6" x14ac:dyDescent="0.25">
      <c r="A12" s="256" t="s">
        <v>258</v>
      </c>
      <c r="B12" s="254" t="s">
        <v>289</v>
      </c>
      <c r="C12" s="265">
        <v>1.4</v>
      </c>
      <c r="D12" s="254" t="s">
        <v>290</v>
      </c>
      <c r="E12" s="255"/>
      <c r="F12" s="257"/>
    </row>
    <row r="13" spans="1:6" x14ac:dyDescent="0.25">
      <c r="A13" s="256" t="s">
        <v>258</v>
      </c>
      <c r="B13" s="254" t="s">
        <v>122</v>
      </c>
      <c r="C13" s="265">
        <v>1.4</v>
      </c>
      <c r="D13" s="254" t="s">
        <v>291</v>
      </c>
      <c r="E13" s="255"/>
      <c r="F13" s="257"/>
    </row>
    <row r="14" spans="1:6" x14ac:dyDescent="0.25">
      <c r="A14" s="256" t="s">
        <v>258</v>
      </c>
      <c r="B14" s="254" t="s">
        <v>292</v>
      </c>
      <c r="C14" s="265">
        <v>1.4</v>
      </c>
      <c r="D14" s="254" t="s">
        <v>256</v>
      </c>
      <c r="E14" s="255"/>
      <c r="F14" s="257"/>
    </row>
    <row r="15" spans="1:6" x14ac:dyDescent="0.25">
      <c r="A15" s="256" t="s">
        <v>258</v>
      </c>
      <c r="B15" s="254" t="s">
        <v>259</v>
      </c>
      <c r="C15" s="265">
        <v>1.4</v>
      </c>
      <c r="D15" s="254" t="s">
        <v>293</v>
      </c>
      <c r="E15" s="255"/>
      <c r="F15" s="257"/>
    </row>
    <row r="16" spans="1:6" x14ac:dyDescent="0.25">
      <c r="A16" s="256" t="s">
        <v>258</v>
      </c>
      <c r="B16" s="254" t="s">
        <v>260</v>
      </c>
      <c r="C16" s="265">
        <v>1.4</v>
      </c>
      <c r="D16" s="254" t="s">
        <v>287</v>
      </c>
      <c r="E16" s="255"/>
      <c r="F16" s="257"/>
    </row>
    <row r="17" spans="1:6" x14ac:dyDescent="0.25">
      <c r="A17" s="256" t="s">
        <v>258</v>
      </c>
      <c r="B17" s="254" t="s">
        <v>295</v>
      </c>
      <c r="C17" s="265">
        <v>1.4</v>
      </c>
      <c r="D17" s="254" t="s">
        <v>294</v>
      </c>
      <c r="E17" s="255"/>
      <c r="F17" s="257"/>
    </row>
    <row r="18" spans="1:6" x14ac:dyDescent="0.25">
      <c r="A18" s="256" t="s">
        <v>258</v>
      </c>
      <c r="B18" s="254" t="s">
        <v>295</v>
      </c>
      <c r="C18" s="265">
        <v>1.4</v>
      </c>
      <c r="D18" s="254" t="s">
        <v>296</v>
      </c>
      <c r="E18" s="255"/>
      <c r="F18" s="257"/>
    </row>
    <row r="19" spans="1:6" x14ac:dyDescent="0.25">
      <c r="A19" s="256" t="s">
        <v>261</v>
      </c>
      <c r="B19" s="254" t="s">
        <v>228</v>
      </c>
      <c r="C19" s="265">
        <v>0.92</v>
      </c>
      <c r="D19" s="254" t="s">
        <v>297</v>
      </c>
      <c r="E19" s="255"/>
      <c r="F19" s="257"/>
    </row>
    <row r="20" spans="1:6" x14ac:dyDescent="0.25">
      <c r="A20" s="256" t="s">
        <v>261</v>
      </c>
      <c r="B20" s="254" t="s">
        <v>120</v>
      </c>
      <c r="C20" s="265">
        <v>0.93</v>
      </c>
      <c r="D20" s="254" t="s">
        <v>297</v>
      </c>
      <c r="E20" s="255"/>
      <c r="F20" s="257"/>
    </row>
    <row r="21" spans="1:6" x14ac:dyDescent="0.25">
      <c r="A21" s="256" t="s">
        <v>261</v>
      </c>
      <c r="B21" s="254" t="s">
        <v>262</v>
      </c>
      <c r="C21" s="265">
        <v>0.95</v>
      </c>
      <c r="D21" s="254" t="s">
        <v>254</v>
      </c>
      <c r="E21" s="255"/>
      <c r="F21" s="257"/>
    </row>
    <row r="22" spans="1:6" x14ac:dyDescent="0.25">
      <c r="A22" s="256" t="s">
        <v>261</v>
      </c>
      <c r="B22" s="254" t="s">
        <v>263</v>
      </c>
      <c r="C22" s="265">
        <v>0.92</v>
      </c>
      <c r="D22" s="254" t="s">
        <v>298</v>
      </c>
      <c r="E22" s="255"/>
      <c r="F22" s="257"/>
    </row>
    <row r="23" spans="1:6" x14ac:dyDescent="0.25">
      <c r="A23" s="256" t="s">
        <v>261</v>
      </c>
      <c r="B23" s="254" t="s">
        <v>309</v>
      </c>
      <c r="C23" s="265">
        <v>0.92</v>
      </c>
      <c r="D23" s="254" t="s">
        <v>310</v>
      </c>
      <c r="E23" s="255"/>
      <c r="F23" s="257"/>
    </row>
    <row r="24" spans="1:6" x14ac:dyDescent="0.25">
      <c r="A24" s="256" t="s">
        <v>264</v>
      </c>
      <c r="B24" s="254" t="s">
        <v>118</v>
      </c>
      <c r="C24" s="265">
        <v>0.9</v>
      </c>
      <c r="D24" s="254" t="s">
        <v>291</v>
      </c>
      <c r="E24" s="255"/>
      <c r="F24" s="257"/>
    </row>
    <row r="25" spans="1:6" x14ac:dyDescent="0.25">
      <c r="A25" s="256" t="s">
        <v>264</v>
      </c>
      <c r="B25" s="254" t="s">
        <v>117</v>
      </c>
      <c r="C25" s="265">
        <v>0.9</v>
      </c>
      <c r="D25" s="254" t="s">
        <v>291</v>
      </c>
      <c r="E25" s="255"/>
      <c r="F25" s="257"/>
    </row>
    <row r="26" spans="1:6" x14ac:dyDescent="0.25">
      <c r="A26" s="256" t="s">
        <v>264</v>
      </c>
      <c r="B26" s="254" t="s">
        <v>265</v>
      </c>
      <c r="C26" s="265">
        <v>0.92</v>
      </c>
      <c r="D26" s="254" t="s">
        <v>291</v>
      </c>
      <c r="E26" s="255"/>
      <c r="F26" s="257"/>
    </row>
    <row r="27" spans="1:6" x14ac:dyDescent="0.25">
      <c r="A27" s="256" t="s">
        <v>264</v>
      </c>
      <c r="B27" s="254" t="s">
        <v>266</v>
      </c>
      <c r="C27" s="265">
        <v>0.9</v>
      </c>
      <c r="D27" s="254" t="s">
        <v>299</v>
      </c>
      <c r="E27" s="255"/>
      <c r="F27" s="257"/>
    </row>
    <row r="28" spans="1:6" x14ac:dyDescent="0.25">
      <c r="A28" s="256" t="s">
        <v>264</v>
      </c>
      <c r="B28" s="254" t="s">
        <v>267</v>
      </c>
      <c r="C28" s="265">
        <v>0.9</v>
      </c>
      <c r="D28" s="254" t="s">
        <v>254</v>
      </c>
      <c r="E28" s="255"/>
      <c r="F28" s="257"/>
    </row>
    <row r="29" spans="1:6" x14ac:dyDescent="0.25">
      <c r="A29" s="256" t="s">
        <v>268</v>
      </c>
      <c r="B29" s="254" t="s">
        <v>114</v>
      </c>
      <c r="C29" s="265">
        <v>1.1499999999999999</v>
      </c>
      <c r="D29" s="254" t="s">
        <v>291</v>
      </c>
      <c r="E29" s="255"/>
      <c r="F29" s="257"/>
    </row>
    <row r="30" spans="1:6" x14ac:dyDescent="0.25">
      <c r="A30" s="256" t="s">
        <v>268</v>
      </c>
      <c r="B30" s="254" t="s">
        <v>300</v>
      </c>
      <c r="C30" s="265">
        <v>1.1499999999999999</v>
      </c>
      <c r="D30" s="254" t="s">
        <v>254</v>
      </c>
      <c r="E30" s="255"/>
      <c r="F30" s="257"/>
    </row>
    <row r="31" spans="1:6" x14ac:dyDescent="0.25">
      <c r="A31" s="256" t="s">
        <v>268</v>
      </c>
      <c r="B31" s="254" t="s">
        <v>301</v>
      </c>
      <c r="C31" s="265">
        <v>1.06</v>
      </c>
      <c r="D31" s="254" t="s">
        <v>302</v>
      </c>
      <c r="E31" s="255"/>
      <c r="F31" s="257"/>
    </row>
    <row r="32" spans="1:6" x14ac:dyDescent="0.25">
      <c r="A32" s="256" t="s">
        <v>269</v>
      </c>
      <c r="B32" s="254" t="s">
        <v>124</v>
      </c>
      <c r="C32" s="265">
        <v>2.7</v>
      </c>
      <c r="D32" s="254" t="s">
        <v>303</v>
      </c>
      <c r="E32" s="255"/>
      <c r="F32" s="257"/>
    </row>
    <row r="33" spans="1:6" x14ac:dyDescent="0.25">
      <c r="A33" s="256" t="s">
        <v>270</v>
      </c>
      <c r="B33" s="254" t="s">
        <v>241</v>
      </c>
      <c r="C33" s="265">
        <v>0.95</v>
      </c>
      <c r="D33" s="254" t="s">
        <v>271</v>
      </c>
      <c r="E33" s="255"/>
      <c r="F33" s="257"/>
    </row>
    <row r="34" spans="1:6" x14ac:dyDescent="0.25">
      <c r="A34" s="256" t="s">
        <v>270</v>
      </c>
      <c r="B34" s="254" t="s">
        <v>272</v>
      </c>
      <c r="C34" s="265">
        <v>0.78</v>
      </c>
      <c r="D34" s="254" t="s">
        <v>271</v>
      </c>
      <c r="E34" s="255"/>
      <c r="F34" s="257"/>
    </row>
    <row r="35" spans="1:6" x14ac:dyDescent="0.25">
      <c r="A35" s="256" t="s">
        <v>270</v>
      </c>
      <c r="B35" s="254" t="s">
        <v>273</v>
      </c>
      <c r="C35" s="265">
        <v>0.82</v>
      </c>
      <c r="D35" s="254" t="s">
        <v>271</v>
      </c>
      <c r="E35" s="255"/>
      <c r="F35" s="257"/>
    </row>
    <row r="36" spans="1:6" x14ac:dyDescent="0.25">
      <c r="A36" s="256" t="s">
        <v>270</v>
      </c>
      <c r="B36" s="254" t="s">
        <v>274</v>
      </c>
      <c r="C36" s="265">
        <v>0.95</v>
      </c>
      <c r="D36" s="254" t="s">
        <v>271</v>
      </c>
      <c r="E36" s="255"/>
      <c r="F36" s="257"/>
    </row>
    <row r="37" spans="1:6" x14ac:dyDescent="0.25">
      <c r="A37" s="256" t="s">
        <v>270</v>
      </c>
      <c r="B37" s="254" t="s">
        <v>275</v>
      </c>
      <c r="C37" s="265">
        <v>1.05</v>
      </c>
      <c r="D37" s="254" t="s">
        <v>271</v>
      </c>
      <c r="E37" s="255"/>
      <c r="F37" s="257"/>
    </row>
    <row r="38" spans="1:6" x14ac:dyDescent="0.25">
      <c r="A38" s="256" t="s">
        <v>270</v>
      </c>
      <c r="B38" s="254" t="s">
        <v>276</v>
      </c>
      <c r="C38" s="265">
        <v>0.95</v>
      </c>
      <c r="D38" s="254" t="s">
        <v>271</v>
      </c>
      <c r="E38" s="255"/>
      <c r="F38" s="257"/>
    </row>
    <row r="39" spans="1:6" x14ac:dyDescent="0.25">
      <c r="A39" s="256" t="s">
        <v>270</v>
      </c>
      <c r="B39" s="254" t="s">
        <v>277</v>
      </c>
      <c r="C39" s="265">
        <v>1</v>
      </c>
      <c r="D39" s="254" t="s">
        <v>271</v>
      </c>
      <c r="E39" s="255"/>
      <c r="F39" s="257"/>
    </row>
    <row r="40" spans="1:6" x14ac:dyDescent="0.25">
      <c r="A40" s="256" t="s">
        <v>279</v>
      </c>
      <c r="B40" s="254" t="s">
        <v>23</v>
      </c>
      <c r="C40" s="265">
        <v>1.35</v>
      </c>
      <c r="D40" s="254" t="s">
        <v>305</v>
      </c>
      <c r="E40" s="255"/>
      <c r="F40" s="257"/>
    </row>
    <row r="41" spans="1:6" x14ac:dyDescent="0.25">
      <c r="A41" s="256" t="s">
        <v>279</v>
      </c>
      <c r="B41" s="254" t="s">
        <v>23</v>
      </c>
      <c r="C41" s="265">
        <v>1.35</v>
      </c>
      <c r="D41" s="254" t="s">
        <v>304</v>
      </c>
      <c r="E41" s="255"/>
      <c r="F41" s="257"/>
    </row>
    <row r="42" spans="1:6" x14ac:dyDescent="0.25">
      <c r="A42" s="256" t="s">
        <v>279</v>
      </c>
      <c r="B42" s="254" t="s">
        <v>22</v>
      </c>
      <c r="C42" s="265">
        <v>1.32</v>
      </c>
      <c r="D42" s="254" t="s">
        <v>306</v>
      </c>
      <c r="E42" s="255"/>
      <c r="F42" s="257"/>
    </row>
    <row r="43" spans="1:6" x14ac:dyDescent="0.25">
      <c r="A43" s="256" t="s">
        <v>279</v>
      </c>
      <c r="B43" s="254" t="s">
        <v>307</v>
      </c>
      <c r="C43" s="265">
        <v>1.32</v>
      </c>
      <c r="D43" s="254" t="s">
        <v>308</v>
      </c>
      <c r="E43" s="255"/>
      <c r="F43" s="257"/>
    </row>
    <row r="44" spans="1:6" x14ac:dyDescent="0.25">
      <c r="A44" s="256" t="s">
        <v>278</v>
      </c>
      <c r="B44" s="254" t="s">
        <v>246</v>
      </c>
      <c r="C44" s="265">
        <v>1.24</v>
      </c>
      <c r="D44" s="254" t="s">
        <v>322</v>
      </c>
      <c r="E44" s="255"/>
      <c r="F44" s="257"/>
    </row>
    <row r="45" spans="1:6" x14ac:dyDescent="0.25">
      <c r="A45" s="256" t="s">
        <v>278</v>
      </c>
      <c r="B45" s="254" t="s">
        <v>247</v>
      </c>
      <c r="C45" s="265">
        <v>1.21</v>
      </c>
      <c r="D45" s="254" t="s">
        <v>321</v>
      </c>
      <c r="E45" s="255"/>
      <c r="F45" s="257"/>
    </row>
    <row r="46" spans="1:6" x14ac:dyDescent="0.25">
      <c r="A46" s="261" t="s">
        <v>278</v>
      </c>
      <c r="B46" s="262" t="s">
        <v>311</v>
      </c>
      <c r="C46" s="266">
        <v>1.1299999999999999</v>
      </c>
      <c r="D46" s="262" t="s">
        <v>321</v>
      </c>
      <c r="E46" s="263"/>
      <c r="F46" s="264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0031-DFF6-400F-8663-F3120A3CF8C5}">
  <dimension ref="D4:K10"/>
  <sheetViews>
    <sheetView workbookViewId="0">
      <selection activeCell="E9" sqref="E9"/>
    </sheetView>
  </sheetViews>
  <sheetFormatPr defaultRowHeight="15" x14ac:dyDescent="0.25"/>
  <cols>
    <col min="4" max="4" width="38.140625" customWidth="1"/>
  </cols>
  <sheetData>
    <row r="4" spans="4:11" x14ac:dyDescent="0.25">
      <c r="D4" s="244" t="s">
        <v>319</v>
      </c>
      <c r="E4" s="245"/>
      <c r="F4" s="245"/>
      <c r="G4" s="245"/>
    </row>
    <row r="5" spans="4:11" x14ac:dyDescent="0.25">
      <c r="D5" s="246" t="s">
        <v>312</v>
      </c>
      <c r="E5" s="247" t="s">
        <v>313</v>
      </c>
      <c r="F5" s="247" t="s">
        <v>314</v>
      </c>
      <c r="G5" s="247" t="s">
        <v>315</v>
      </c>
    </row>
    <row r="6" spans="4:11" x14ac:dyDescent="0.25">
      <c r="D6" s="248" t="s">
        <v>316</v>
      </c>
      <c r="E6" s="249">
        <v>7</v>
      </c>
      <c r="F6" s="249">
        <v>18.899999999999999</v>
      </c>
      <c r="G6" s="249">
        <v>2.7</v>
      </c>
      <c r="H6">
        <f>E6*G6</f>
        <v>18.900000000000002</v>
      </c>
      <c r="K6" s="253">
        <f>H6/$H$9</f>
        <v>0.21202602647520757</v>
      </c>
    </row>
    <row r="7" spans="4:11" x14ac:dyDescent="0.25">
      <c r="D7" s="248" t="s">
        <v>261</v>
      </c>
      <c r="E7" s="249">
        <v>22</v>
      </c>
      <c r="F7" s="249">
        <v>9.1999999999999993</v>
      </c>
      <c r="G7" s="249">
        <v>0.92</v>
      </c>
      <c r="H7">
        <f t="shared" ref="H7:H8" si="0">E7*G7</f>
        <v>20.240000000000002</v>
      </c>
      <c r="K7" s="253">
        <f t="shared" ref="K7:K8" si="1">H7/$H$9</f>
        <v>0.22705855956921697</v>
      </c>
    </row>
    <row r="8" spans="4:11" x14ac:dyDescent="0.25">
      <c r="D8" s="248" t="s">
        <v>275</v>
      </c>
      <c r="E8" s="249">
        <v>50</v>
      </c>
      <c r="F8" s="249">
        <v>30</v>
      </c>
      <c r="G8" s="249">
        <v>1</v>
      </c>
      <c r="H8">
        <f t="shared" si="0"/>
        <v>50</v>
      </c>
      <c r="K8" s="253">
        <f t="shared" si="1"/>
        <v>0.56091541395557554</v>
      </c>
    </row>
    <row r="9" spans="4:11" x14ac:dyDescent="0.25">
      <c r="D9" s="250" t="s">
        <v>317</v>
      </c>
      <c r="E9" s="251">
        <f>SUM(E6:E8)</f>
        <v>79</v>
      </c>
      <c r="F9" s="251">
        <v>58.1</v>
      </c>
      <c r="G9" s="250"/>
      <c r="H9">
        <f>SUM(H6:H8)</f>
        <v>89.14</v>
      </c>
      <c r="I9">
        <f>H9/E9</f>
        <v>1.1283544303797468</v>
      </c>
      <c r="J9" t="s">
        <v>320</v>
      </c>
    </row>
    <row r="10" spans="4:11" ht="40.5" x14ac:dyDescent="0.25">
      <c r="D10" s="252" t="s">
        <v>318</v>
      </c>
      <c r="E10" s="245"/>
      <c r="F10" s="245"/>
      <c r="G10" s="24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3BC8-9DE5-4F2A-A3D6-FD61C9E36100}">
  <sheetPr>
    <tabColor rgb="FFFFFF99"/>
  </sheetPr>
  <dimension ref="A1:Y123"/>
  <sheetViews>
    <sheetView topLeftCell="A64" zoomScaleNormal="100" workbookViewId="0">
      <selection activeCell="I31" sqref="I31"/>
    </sheetView>
  </sheetViews>
  <sheetFormatPr defaultColWidth="8.85546875" defaultRowHeight="15" x14ac:dyDescent="0.25"/>
  <cols>
    <col min="1" max="1" width="15.7109375" customWidth="1"/>
    <col min="2" max="2" width="17" customWidth="1"/>
    <col min="3" max="3" width="16.7109375" customWidth="1"/>
    <col min="4" max="4" width="13" customWidth="1"/>
    <col min="5" max="5" width="10.42578125" bestFit="1" customWidth="1"/>
    <col min="6" max="6" width="11.140625" customWidth="1"/>
    <col min="7" max="7" width="13.85546875" customWidth="1"/>
    <col min="8" max="8" width="15.7109375" customWidth="1"/>
    <col min="9" max="9" width="10.140625" customWidth="1"/>
    <col min="10" max="10" width="13.85546875" customWidth="1"/>
    <col min="11" max="11" width="17.140625" customWidth="1"/>
    <col min="12" max="12" width="9.42578125" customWidth="1"/>
    <col min="13" max="13" width="21.42578125" bestFit="1" customWidth="1"/>
    <col min="14" max="14" width="10" bestFit="1" customWidth="1"/>
    <col min="15" max="15" width="14.28515625" bestFit="1" customWidth="1"/>
    <col min="16" max="16" width="20.28515625" bestFit="1" customWidth="1"/>
    <col min="17" max="17" width="19.85546875" bestFit="1" customWidth="1"/>
    <col min="18" max="18" width="18.140625" customWidth="1"/>
    <col min="19" max="19" width="15.28515625" bestFit="1" customWidth="1"/>
    <col min="20" max="22" width="12.42578125" bestFit="1" customWidth="1"/>
  </cols>
  <sheetData>
    <row r="1" spans="1:18" ht="21" x14ac:dyDescent="0.35">
      <c r="A1" s="332" t="s">
        <v>153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"/>
      <c r="N1" s="12"/>
      <c r="O1" s="12"/>
      <c r="P1" s="9"/>
      <c r="Q1" s="9"/>
      <c r="R1" s="9"/>
    </row>
    <row r="2" spans="1:18" ht="15.75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.75" customHeight="1" x14ac:dyDescent="0.25">
      <c r="A3" s="333" t="s">
        <v>50</v>
      </c>
      <c r="B3" s="333"/>
      <c r="C3" s="334" t="s">
        <v>130</v>
      </c>
      <c r="D3" s="334"/>
      <c r="E3" s="334"/>
      <c r="F3" s="9"/>
      <c r="G3" s="333" t="s">
        <v>56</v>
      </c>
      <c r="H3" s="333"/>
      <c r="I3" s="334" t="s">
        <v>129</v>
      </c>
      <c r="J3" s="334"/>
      <c r="K3" s="334"/>
      <c r="L3" s="334"/>
      <c r="M3" s="9"/>
      <c r="N3" s="9"/>
      <c r="O3" s="9"/>
    </row>
    <row r="4" spans="1:18" ht="15.7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8" ht="15.75" customHeight="1" x14ac:dyDescent="0.25">
      <c r="A5" s="333" t="s">
        <v>51</v>
      </c>
      <c r="B5" s="333"/>
      <c r="C5" s="335" t="s">
        <v>0</v>
      </c>
      <c r="D5" s="335"/>
      <c r="E5" s="335"/>
      <c r="F5" s="9"/>
      <c r="G5" s="333" t="s">
        <v>53</v>
      </c>
      <c r="H5" s="333"/>
      <c r="I5" s="336">
        <v>10000</v>
      </c>
      <c r="J5" s="336"/>
      <c r="K5" s="335" t="s">
        <v>2</v>
      </c>
      <c r="L5" s="335"/>
      <c r="M5" s="9"/>
      <c r="N5" s="9"/>
    </row>
    <row r="6" spans="1:18" ht="15.75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6"/>
      <c r="N6" s="9"/>
      <c r="O6" s="9"/>
      <c r="P6" s="9"/>
      <c r="Q6" s="9"/>
    </row>
    <row r="7" spans="1:18" x14ac:dyDescent="0.25">
      <c r="M7" s="6"/>
    </row>
    <row r="8" spans="1:18" x14ac:dyDescent="0.25">
      <c r="B8" s="1"/>
      <c r="M8" s="6"/>
      <c r="O8" s="19"/>
    </row>
    <row r="9" spans="1:18" ht="15.75" x14ac:dyDescent="0.25">
      <c r="A9" s="326" t="s">
        <v>54</v>
      </c>
      <c r="B9" s="326"/>
      <c r="C9" s="326"/>
      <c r="O9" s="20"/>
      <c r="P9" s="20"/>
    </row>
    <row r="10" spans="1:18" ht="15.75" x14ac:dyDescent="0.25">
      <c r="A10" s="326" t="s">
        <v>55</v>
      </c>
      <c r="B10" s="326"/>
      <c r="C10" s="326"/>
      <c r="N10" s="20"/>
      <c r="O10" s="327"/>
      <c r="P10" s="327"/>
      <c r="Q10" s="44"/>
    </row>
    <row r="11" spans="1:18" ht="15.75" thickBot="1" x14ac:dyDescent="0.3"/>
    <row r="12" spans="1:18" ht="15.75" thickBot="1" x14ac:dyDescent="0.3">
      <c r="A12" s="328" t="s">
        <v>67</v>
      </c>
      <c r="B12" s="329"/>
      <c r="C12" s="330"/>
      <c r="E12" s="2"/>
      <c r="F12" s="2"/>
      <c r="G12" s="2"/>
      <c r="I12" s="331"/>
      <c r="J12" s="331"/>
      <c r="K12" s="331"/>
      <c r="M12" s="331"/>
      <c r="N12" s="331"/>
    </row>
    <row r="13" spans="1:18" x14ac:dyDescent="0.25">
      <c r="A13" s="324" t="s">
        <v>8</v>
      </c>
      <c r="B13" s="325"/>
      <c r="C13" s="135">
        <v>250</v>
      </c>
      <c r="E13" s="319"/>
      <c r="F13" s="319"/>
      <c r="G13" s="21"/>
      <c r="I13" s="319"/>
      <c r="J13" s="319"/>
      <c r="K13" s="21"/>
    </row>
    <row r="14" spans="1:18" x14ac:dyDescent="0.25">
      <c r="A14" s="322" t="s">
        <v>9</v>
      </c>
      <c r="B14" s="323"/>
      <c r="C14" s="30">
        <v>100</v>
      </c>
      <c r="E14" s="319"/>
      <c r="F14" s="319"/>
      <c r="G14" s="21"/>
      <c r="I14" s="319"/>
      <c r="J14" s="319"/>
      <c r="K14" s="21"/>
      <c r="M14" s="319"/>
      <c r="N14" s="319"/>
      <c r="O14" s="21"/>
      <c r="Q14" s="21"/>
    </row>
    <row r="15" spans="1:18" x14ac:dyDescent="0.25">
      <c r="A15" s="322" t="s">
        <v>6</v>
      </c>
      <c r="B15" s="323"/>
      <c r="C15" s="31">
        <v>20</v>
      </c>
      <c r="E15" s="319"/>
      <c r="F15" s="319"/>
      <c r="G15" s="21"/>
      <c r="I15" s="4"/>
      <c r="J15" s="4"/>
      <c r="K15" s="131"/>
      <c r="M15" s="319"/>
      <c r="N15" s="319"/>
      <c r="O15" s="21"/>
      <c r="Q15" s="21"/>
    </row>
    <row r="16" spans="1:18" x14ac:dyDescent="0.25">
      <c r="A16" s="322" t="s">
        <v>10</v>
      </c>
      <c r="B16" s="323"/>
      <c r="C16" s="136">
        <v>1</v>
      </c>
      <c r="E16" s="4"/>
      <c r="F16" s="4"/>
      <c r="G16" s="131"/>
      <c r="I16" s="319"/>
      <c r="J16" s="319"/>
      <c r="K16" s="6"/>
      <c r="M16" s="319"/>
      <c r="N16" s="319"/>
    </row>
    <row r="17" spans="1:14" ht="15.75" thickBot="1" x14ac:dyDescent="0.3">
      <c r="A17" s="317" t="s">
        <v>7</v>
      </c>
      <c r="B17" s="318"/>
      <c r="C17" s="32">
        <v>4</v>
      </c>
      <c r="E17" s="319"/>
      <c r="F17" s="319"/>
      <c r="G17" s="6"/>
      <c r="M17" s="319"/>
      <c r="N17" s="319"/>
    </row>
    <row r="18" spans="1:14" x14ac:dyDescent="0.25">
      <c r="M18" s="319"/>
      <c r="N18" s="319"/>
    </row>
    <row r="19" spans="1:14" x14ac:dyDescent="0.25">
      <c r="M19" s="267"/>
      <c r="N19" s="267"/>
    </row>
    <row r="20" spans="1:14" x14ac:dyDescent="0.25">
      <c r="M20" s="267"/>
      <c r="N20" s="267"/>
    </row>
    <row r="21" spans="1:14" x14ac:dyDescent="0.25">
      <c r="C21" s="320"/>
      <c r="D21" s="53"/>
      <c r="E21" s="320"/>
      <c r="F21" s="320"/>
      <c r="G21" s="320"/>
      <c r="H21" s="320"/>
    </row>
    <row r="22" spans="1:14" x14ac:dyDescent="0.25">
      <c r="C22" s="320"/>
      <c r="D22" s="53"/>
      <c r="E22" s="320"/>
      <c r="F22" s="320"/>
      <c r="G22" s="320"/>
      <c r="H22" s="320"/>
    </row>
    <row r="23" spans="1:14" ht="15.75" thickBot="1" x14ac:dyDescent="0.3">
      <c r="C23" s="321"/>
      <c r="D23" s="53"/>
      <c r="E23" s="321"/>
      <c r="F23" s="321"/>
      <c r="G23" s="321"/>
      <c r="H23" s="321"/>
    </row>
    <row r="24" spans="1:14" ht="45" x14ac:dyDescent="0.25">
      <c r="A24" s="155" t="s">
        <v>11</v>
      </c>
      <c r="B24" s="156" t="s">
        <v>12</v>
      </c>
      <c r="C24" s="156" t="s">
        <v>13</v>
      </c>
      <c r="D24" s="156" t="s">
        <v>37</v>
      </c>
      <c r="E24" s="156" t="s">
        <v>14</v>
      </c>
      <c r="F24" s="156" t="s">
        <v>15</v>
      </c>
      <c r="G24" s="156" t="s">
        <v>16</v>
      </c>
      <c r="H24" s="156" t="s">
        <v>17</v>
      </c>
      <c r="I24" s="156" t="s">
        <v>18</v>
      </c>
      <c r="J24" s="156" t="s">
        <v>19</v>
      </c>
      <c r="K24" s="157" t="s">
        <v>39</v>
      </c>
    </row>
    <row r="25" spans="1:14" x14ac:dyDescent="0.25">
      <c r="A25" s="172" t="s">
        <v>34</v>
      </c>
      <c r="B25" s="172" t="s">
        <v>121</v>
      </c>
      <c r="C25" s="173">
        <f>VLOOKUP(B25,Material[],3,FALSE)</f>
        <v>1</v>
      </c>
      <c r="D25" s="174">
        <v>12</v>
      </c>
      <c r="E25" s="175">
        <f>VLOOKUP(B25,Material[],2,FALSE)</f>
        <v>1.4</v>
      </c>
      <c r="F25" s="175">
        <f>IF(A25="Substrate",D25*E25,C25*D25)</f>
        <v>16.799999999999997</v>
      </c>
      <c r="G25" s="176">
        <f>VLOOKUP(B25,Material[],4,FALSE)</f>
        <v>1.5</v>
      </c>
      <c r="H25" s="177">
        <v>0.1</v>
      </c>
      <c r="I25" s="178">
        <f>(IF(A25="Substrate",(F25*G25)/1000,(D25*G25)/1000))*(1+table17[[#This Row],[Waste
%]])</f>
        <v>2.7719999999999998E-2</v>
      </c>
      <c r="J25" s="179">
        <f>IF(A25="Substrate",(($I$36*F25)/$B$37)*(1+H25),(($I$36*D25)/$B$37)*(1+H25))</f>
        <v>1598.6159169550172</v>
      </c>
      <c r="K25" s="180">
        <f>table17[[#This Row],[Total GSM]]/$B$37</f>
        <v>0.14532871972318337</v>
      </c>
    </row>
    <row r="26" spans="1:14" x14ac:dyDescent="0.25">
      <c r="A26" s="172" t="s">
        <v>27</v>
      </c>
      <c r="B26" s="172" t="s">
        <v>28</v>
      </c>
      <c r="C26" s="173">
        <f>VLOOKUP(B26,Material[],3,FALSE)</f>
        <v>0.35</v>
      </c>
      <c r="D26" s="174">
        <v>8</v>
      </c>
      <c r="E26" s="175">
        <f>VLOOKUP(B26,Material[],2,FALSE)</f>
        <v>1</v>
      </c>
      <c r="F26" s="175">
        <f>IF(A26="Substrate",D26*E26,C26*D26)</f>
        <v>2.8</v>
      </c>
      <c r="G26" s="176">
        <f>VLOOKUP(B26,Material[],4,FALSE)</f>
        <v>4.5999999999999996</v>
      </c>
      <c r="H26" s="177">
        <v>0.1</v>
      </c>
      <c r="I26" s="178">
        <f>(IF(A26="Substrate",(F26*G26)/1000,(D26*G26)/1000))*(1+table17[[#This Row],[Waste
%]])</f>
        <v>4.0480000000000002E-2</v>
      </c>
      <c r="J26" s="179">
        <f>IF(A26="Substrate",(($I$36*F26)/$B$37)*(1+H26),(($I$36*D26)/$B$37)*(1+H26))</f>
        <v>761.24567474048456</v>
      </c>
      <c r="K26" s="180">
        <f>table17[[#This Row],[Total GSM]]/$B$37</f>
        <v>2.4221453287197232E-2</v>
      </c>
      <c r="M26" s="101"/>
    </row>
    <row r="27" spans="1:14" x14ac:dyDescent="0.25">
      <c r="A27" s="172" t="s">
        <v>35</v>
      </c>
      <c r="B27" s="172" t="s">
        <v>24</v>
      </c>
      <c r="C27" s="173">
        <f>VLOOKUP(B27,Material[],3,FALSE)</f>
        <v>0.5</v>
      </c>
      <c r="D27" s="174">
        <v>6</v>
      </c>
      <c r="E27" s="175">
        <f>VLOOKUP(B27,Material[],2,FALSE)</f>
        <v>1</v>
      </c>
      <c r="F27" s="175">
        <f t="shared" ref="F27:F28" si="0">IF(A27="Substrate",D27*E27,C27*D27)</f>
        <v>3</v>
      </c>
      <c r="G27" s="176">
        <f>VLOOKUP(B27,Material[],4,FALSE)</f>
        <v>3.35</v>
      </c>
      <c r="H27" s="177">
        <v>0.1</v>
      </c>
      <c r="I27" s="178">
        <f>(IF(A27="Substrate",(F27*G27)/1000,(D27*G27)/1000))*(1+table17[[#This Row],[Waste
%]])</f>
        <v>2.2110000000000001E-2</v>
      </c>
      <c r="J27" s="179">
        <f>IF(A27="Substrate",(($I$36*F27)/$B$37)*(1+H27),(($I$36*D27)/$B$37)*(1+H27))</f>
        <v>570.93425605536333</v>
      </c>
      <c r="K27" s="180">
        <f>table17[[#This Row],[Total GSM]]/$B$37</f>
        <v>2.5951557093425608E-2</v>
      </c>
    </row>
    <row r="28" spans="1:14" x14ac:dyDescent="0.25">
      <c r="A28" s="172" t="s">
        <v>34</v>
      </c>
      <c r="B28" s="172" t="s">
        <v>120</v>
      </c>
      <c r="C28" s="173">
        <f>VLOOKUP(B28,Material[],3,FALSE)</f>
        <v>1</v>
      </c>
      <c r="D28" s="174">
        <v>100</v>
      </c>
      <c r="E28" s="175">
        <f>VLOOKUP(B28,Material[],2,FALSE)</f>
        <v>0.93</v>
      </c>
      <c r="F28" s="175">
        <f t="shared" si="0"/>
        <v>93</v>
      </c>
      <c r="G28" s="176">
        <f>VLOOKUP(B28,Material[],4,FALSE)</f>
        <v>1.25</v>
      </c>
      <c r="H28" s="177">
        <v>0.1</v>
      </c>
      <c r="I28" s="178">
        <f>(IF(A28="Substrate",(F28*G28)/1000,(D28*G28)/1000))*(1+table17[[#This Row],[Waste
%]])</f>
        <v>0.12787500000000002</v>
      </c>
      <c r="J28" s="179">
        <f>IF(A28="Substrate",(($I$36*F28)/$B$37)*(1+H28),(($I$36*D28)/$B$37)*(1+H28))</f>
        <v>8849.4809688581317</v>
      </c>
      <c r="K28" s="180">
        <f>table17[[#This Row],[Total GSM]]/$B$37</f>
        <v>0.80449826989619377</v>
      </c>
    </row>
    <row r="29" spans="1:14" ht="15.75" thickBot="1" x14ac:dyDescent="0.3">
      <c r="A29" s="165" t="s">
        <v>188</v>
      </c>
      <c r="B29" s="172" t="s">
        <v>189</v>
      </c>
      <c r="C29" s="166"/>
      <c r="D29" s="167"/>
      <c r="E29" s="168"/>
      <c r="F29" s="168"/>
      <c r="G29" s="169"/>
      <c r="H29" s="170"/>
      <c r="I29" s="171"/>
      <c r="J29" s="52"/>
      <c r="K29" s="58"/>
    </row>
    <row r="30" spans="1:14" x14ac:dyDescent="0.25">
      <c r="A30" s="59"/>
      <c r="B30" s="46"/>
      <c r="C30" s="48"/>
      <c r="D30" s="49"/>
      <c r="E30" s="50"/>
      <c r="F30" s="50"/>
      <c r="G30" s="71"/>
      <c r="H30" s="51"/>
      <c r="I30" s="47"/>
      <c r="J30" s="52"/>
      <c r="K30" s="58"/>
    </row>
    <row r="31" spans="1:14" ht="15.75" thickBot="1" x14ac:dyDescent="0.3">
      <c r="A31" s="310" t="s">
        <v>38</v>
      </c>
      <c r="B31" s="311"/>
      <c r="C31" s="311"/>
      <c r="D31" s="311"/>
      <c r="E31" s="60">
        <v>4.1666666666666664E-2</v>
      </c>
      <c r="F31" s="65">
        <v>1.5</v>
      </c>
      <c r="G31" s="61">
        <f>VLOOKUP("Solvent Mix",Material[],4,FALSE)</f>
        <v>1.5</v>
      </c>
      <c r="H31" s="62"/>
      <c r="I31" s="63">
        <f>((SUMIFS(table17[Total GSM],table17[Type],"ink")+SUMIFS(table17[Total GSM],table17[Material],"Solvent Base"))/$F$31)*G31/1000</f>
        <v>5.7999999999999996E-3</v>
      </c>
      <c r="J31" s="125">
        <f>(SUMIFS(table17[Est.
Required Kgs],table17[Type], "Ink") + SUMIFS(table17[Est.
Required Kgs],table17[Material], "Solvent Base"))*$F$31</f>
        <v>1998.2698961937717</v>
      </c>
      <c r="K31" s="64"/>
    </row>
    <row r="32" spans="1:14" ht="15" customHeight="1" x14ac:dyDescent="0.25">
      <c r="A32" s="17"/>
      <c r="B32" s="17"/>
      <c r="C32" s="17"/>
      <c r="D32" s="17"/>
      <c r="E32" s="18"/>
      <c r="F32" s="18"/>
      <c r="G32" s="18"/>
      <c r="H32" s="18"/>
      <c r="I32" s="18"/>
      <c r="J32" s="18"/>
      <c r="K32" s="18"/>
      <c r="N32" s="38"/>
    </row>
    <row r="33" spans="1:13" x14ac:dyDescent="0.25">
      <c r="A33" s="17"/>
      <c r="B33" s="17"/>
      <c r="C33" s="17"/>
      <c r="D33" s="17"/>
      <c r="E33" s="18"/>
      <c r="F33" s="18"/>
      <c r="G33" s="18"/>
      <c r="H33" s="18"/>
      <c r="I33" s="18"/>
      <c r="J33" s="18"/>
      <c r="K33" s="18"/>
    </row>
    <row r="34" spans="1:13" x14ac:dyDescent="0.25">
      <c r="B34" s="2"/>
      <c r="C34" s="11"/>
    </row>
    <row r="35" spans="1:13" x14ac:dyDescent="0.25">
      <c r="A35" s="2" t="s">
        <v>40</v>
      </c>
      <c r="B35" s="36">
        <f>B37/B36</f>
        <v>0.9813242784380305</v>
      </c>
      <c r="C35" s="312" t="s">
        <v>66</v>
      </c>
      <c r="D35" s="312"/>
      <c r="E35" s="134">
        <f>IF(C5="Roll", (1000/(C13*C14*B37*0.001*0.001))*C16, IF(C5="Sleeve", (1000/(G14*G15*B37*0.001*0.001))*1, IF(C5="Bag or Pouch", (1000/(K14*K13*B37*0.001*0.001))*1, "")))</f>
        <v>346.02076124567475</v>
      </c>
      <c r="F35" s="312" t="s">
        <v>65</v>
      </c>
      <c r="G35" s="312"/>
      <c r="H35" s="312"/>
      <c r="I35">
        <f>IF(C5="Roll", ((C13*C17)+C15), IF(C5="Sleeve", ((G14*G17)+G16), IF(C5="Bag or Pouch", ((K14*K16)+K15), "")))</f>
        <v>1020</v>
      </c>
    </row>
    <row r="36" spans="1:13" x14ac:dyDescent="0.25">
      <c r="A36" s="2" t="s">
        <v>82</v>
      </c>
      <c r="B36" s="37">
        <f>SUMIFS(table17[Micron],table17[Type],"substrate")+SUMIFS(table17[Total GSM],table17[Type],"Ink")+SUMIFS(table17[Total GSM],table17[Type],"Adhesive")</f>
        <v>117.8</v>
      </c>
      <c r="C36" s="312" t="s">
        <v>59</v>
      </c>
      <c r="D36" s="312"/>
      <c r="E36" s="15">
        <f>1000/E35</f>
        <v>2.89</v>
      </c>
      <c r="F36" s="312" t="s">
        <v>88</v>
      </c>
      <c r="G36" s="312"/>
      <c r="H36" s="312"/>
      <c r="I36" s="38">
        <f>IF(UnitsDD="Kgs", I5,
 IF(UnitsDD="Kpcs", I5*E36,
 IF(UnitsDD="SQM", I5/E37,
 IF(UnitsDD="LM", I5/E39,
 IF(UnitsDD="Roll 500 LM", (I5/E39)*500, "")))))</f>
        <v>10000</v>
      </c>
      <c r="J36" s="102" t="s">
        <v>152</v>
      </c>
      <c r="K36" s="193"/>
      <c r="L36" t="s">
        <v>155</v>
      </c>
    </row>
    <row r="37" spans="1:13" x14ac:dyDescent="0.25">
      <c r="A37" s="2" t="s">
        <v>15</v>
      </c>
      <c r="B37" s="37">
        <f>SUM(F25:F30)</f>
        <v>115.6</v>
      </c>
      <c r="C37" s="312" t="s">
        <v>60</v>
      </c>
      <c r="D37" s="312"/>
      <c r="E37" s="15">
        <f>1000/B37</f>
        <v>8.6505190311418687</v>
      </c>
      <c r="F37" s="312" t="s">
        <v>89</v>
      </c>
      <c r="G37" s="312"/>
      <c r="H37" s="312"/>
      <c r="I37" s="38">
        <f>(I36*1000)/E36/1000</f>
        <v>3460.2076124567475</v>
      </c>
    </row>
    <row r="38" spans="1:13" x14ac:dyDescent="0.25">
      <c r="A38" s="2" t="s">
        <v>83</v>
      </c>
      <c r="B38" s="16">
        <f>SUM(I25:I30)+I31</f>
        <v>0.22398500000000002</v>
      </c>
      <c r="C38" s="312" t="s">
        <v>86</v>
      </c>
      <c r="D38" s="312"/>
      <c r="E38" s="15">
        <f>(E37/I35)*1000</f>
        <v>8.4809010109234002</v>
      </c>
      <c r="F38" s="312" t="s">
        <v>135</v>
      </c>
      <c r="G38" s="312"/>
      <c r="H38" s="312"/>
      <c r="I38" s="38">
        <f>I36*E38</f>
        <v>84809.010109234005</v>
      </c>
    </row>
    <row r="39" spans="1:13" x14ac:dyDescent="0.25">
      <c r="C39" s="312" t="s">
        <v>151</v>
      </c>
      <c r="D39" s="312"/>
      <c r="E39" s="15">
        <f>IF(C5="Roll", ((E37/C13)*1000), IF(C5="Sleeve", ((E37/G14)*1000), IF(C5="Bag or Pouch", ((E37/K13)*1000), "")))</f>
        <v>34.602076124567475</v>
      </c>
    </row>
    <row r="40" spans="1:13" x14ac:dyDescent="0.25">
      <c r="F40" s="2"/>
    </row>
    <row r="41" spans="1:13" x14ac:dyDescent="0.25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</row>
    <row r="42" spans="1:13" ht="15.75" x14ac:dyDescent="0.25">
      <c r="A42" s="94" t="s">
        <v>84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</row>
    <row r="43" spans="1:13" ht="16.5" thickBot="1" x14ac:dyDescent="0.3">
      <c r="A43" s="94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</row>
    <row r="44" spans="1:13" ht="15.75" thickBot="1" x14ac:dyDescent="0.3">
      <c r="A44" s="314" t="s">
        <v>92</v>
      </c>
      <c r="B44" s="315"/>
      <c r="C44" s="316"/>
      <c r="D44" s="79">
        <v>176</v>
      </c>
      <c r="E44" s="82"/>
      <c r="F44" s="82"/>
      <c r="G44" s="82"/>
      <c r="H44" s="82"/>
      <c r="I44" s="82"/>
      <c r="J44" s="82"/>
      <c r="K44" s="82"/>
      <c r="L44" s="82"/>
      <c r="M44" s="82"/>
    </row>
    <row r="45" spans="1:13" x14ac:dyDescent="0.25">
      <c r="A45" s="76"/>
      <c r="B45" s="76"/>
      <c r="C45" s="76"/>
      <c r="D45" s="82"/>
      <c r="E45" s="82"/>
      <c r="F45" s="82"/>
      <c r="G45" s="82"/>
      <c r="H45" s="82"/>
      <c r="I45" s="82"/>
      <c r="J45" s="82"/>
      <c r="K45" s="82"/>
      <c r="L45" s="82"/>
      <c r="M45" s="82"/>
    </row>
    <row r="46" spans="1:13" x14ac:dyDescent="0.25">
      <c r="A46" s="299" t="s">
        <v>62</v>
      </c>
      <c r="B46" s="299"/>
      <c r="C46" s="299"/>
      <c r="D46" s="77">
        <v>600</v>
      </c>
      <c r="E46" s="82"/>
      <c r="F46" s="82"/>
      <c r="G46" s="82"/>
      <c r="H46" s="82"/>
      <c r="I46" s="82"/>
      <c r="J46" s="82"/>
      <c r="K46" s="82"/>
      <c r="L46" s="82"/>
      <c r="M46" s="82"/>
    </row>
    <row r="47" spans="1:13" x14ac:dyDescent="0.25">
      <c r="A47" s="299" t="s">
        <v>63</v>
      </c>
      <c r="B47" s="299"/>
      <c r="C47" s="299"/>
      <c r="D47" s="127">
        <f>IF(C5="Roll",(((D46/2)^2-(D44/2)^2)*PI()*C13*B35/1000000),IF(C5="Sleeve",(((D46/2)^2-(D44/2)^2)*PI()*G14*B35/1000000),IF(C5="Bag or Pouch",(((D46/2)^2-(D44/2)^2)*PI()*K13*B35/1000000))))</f>
        <v>63.397190403781075</v>
      </c>
      <c r="E47" s="82"/>
      <c r="F47" s="82"/>
      <c r="G47" s="82"/>
      <c r="H47" s="82"/>
      <c r="I47" s="82"/>
      <c r="J47" s="82"/>
      <c r="K47" s="82"/>
      <c r="L47" s="82"/>
      <c r="M47" s="82"/>
    </row>
    <row r="48" spans="1:13" x14ac:dyDescent="0.25">
      <c r="A48" s="299" t="s">
        <v>48</v>
      </c>
      <c r="B48" s="299"/>
      <c r="C48" s="299"/>
      <c r="D48" s="128">
        <f>IF(C5="Roll",((D47*1000/B35)/((B36/10000)*(C13/10))/100),IF(C5="Sleeve",((D47*1000/B35)/((B36/10000)*(G14/10))/100),IF(C5="Bag or Pouch",((D47*1000/B35)/((B36/10000)*(K13/10))/100))))</f>
        <v>2193.6744084353313</v>
      </c>
      <c r="E48" s="82"/>
      <c r="F48" s="82"/>
      <c r="G48" s="82"/>
      <c r="H48" s="82"/>
      <c r="I48" s="82"/>
      <c r="J48" s="82"/>
      <c r="K48" s="82"/>
      <c r="L48" s="82"/>
      <c r="M48" s="82"/>
    </row>
    <row r="49" spans="1:14" x14ac:dyDescent="0.25">
      <c r="A49" s="299" t="s">
        <v>85</v>
      </c>
      <c r="B49" s="299"/>
      <c r="C49" s="299"/>
      <c r="D49" s="97">
        <f>IF(C5="Roll",C13,IF(C5="Sleeve", G14,IF(C5="Bag or Pouch", K13)))</f>
        <v>250</v>
      </c>
      <c r="E49" s="82"/>
      <c r="F49" s="82"/>
      <c r="G49" s="82"/>
      <c r="H49" s="82"/>
      <c r="I49" s="82"/>
      <c r="J49" s="82"/>
      <c r="K49" s="82"/>
      <c r="L49" s="82"/>
      <c r="M49" s="82"/>
    </row>
    <row r="50" spans="1:14" x14ac:dyDescent="0.25">
      <c r="A50" s="299" t="s">
        <v>64</v>
      </c>
      <c r="B50" s="299"/>
      <c r="C50" s="299"/>
      <c r="D50" s="98">
        <f>(D47*E35)</f>
        <v>21936.744084353315</v>
      </c>
      <c r="E50" s="82"/>
      <c r="F50" s="82"/>
      <c r="G50" s="82"/>
      <c r="H50" s="82"/>
      <c r="I50" s="82"/>
      <c r="J50" s="82"/>
      <c r="K50" s="82"/>
      <c r="L50" s="82"/>
      <c r="M50" s="82"/>
    </row>
    <row r="51" spans="1:14" x14ac:dyDescent="0.25">
      <c r="A51" s="76"/>
      <c r="B51" s="76"/>
      <c r="C51" s="76"/>
      <c r="D51" s="99"/>
      <c r="E51" s="82"/>
      <c r="F51" s="82"/>
      <c r="G51" s="82"/>
      <c r="H51" s="82"/>
      <c r="I51" s="82"/>
      <c r="J51" s="82"/>
      <c r="K51" s="82"/>
      <c r="L51" s="82"/>
      <c r="M51" s="82"/>
    </row>
    <row r="52" spans="1:14" x14ac:dyDescent="0.25">
      <c r="A52" s="299" t="s">
        <v>93</v>
      </c>
      <c r="B52" s="299"/>
      <c r="C52" s="299"/>
      <c r="D52" s="78">
        <v>74</v>
      </c>
      <c r="E52" s="82"/>
      <c r="F52" s="82"/>
      <c r="G52" s="82"/>
      <c r="H52" s="82"/>
      <c r="I52" s="82"/>
      <c r="J52" s="82"/>
      <c r="K52" s="82"/>
      <c r="L52" s="82"/>
      <c r="M52" s="82"/>
    </row>
    <row r="53" spans="1:14" x14ac:dyDescent="0.25">
      <c r="A53" s="299" t="s">
        <v>49</v>
      </c>
      <c r="B53" s="299"/>
      <c r="C53" s="299"/>
      <c r="D53" s="100">
        <f>IF(C5="Roll",(2*SQRT((((D52*1000)/B35)/(C13/10)/PI())+((D44/2/10)^2))*10),IF(C5="Sleeve",(2*SQRT((((D52*1000)/B35)/(G14/10)/PI())+((D44/2/10)^2))*10),IF(C5="Bag or Pouch",(2*SQRT((((D52*1000)/B35)/(K13/10)/PI())+((D44/2/10)^2))*10))))</f>
        <v>644.22615683819515</v>
      </c>
      <c r="E53" s="82"/>
      <c r="F53" s="82"/>
      <c r="G53" s="82"/>
      <c r="H53" s="82"/>
      <c r="I53" s="82"/>
      <c r="J53" s="82"/>
      <c r="K53" s="82"/>
      <c r="L53" s="82"/>
      <c r="M53" s="82"/>
    </row>
    <row r="54" spans="1:14" x14ac:dyDescent="0.2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</row>
    <row r="55" spans="1:14" x14ac:dyDescent="0.2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</row>
    <row r="56" spans="1:14" x14ac:dyDescent="0.2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</row>
    <row r="57" spans="1:14" x14ac:dyDescent="0.25">
      <c r="A57" s="81" t="s">
        <v>108</v>
      </c>
      <c r="B57" s="82"/>
      <c r="C57" s="82"/>
      <c r="D57" s="83"/>
      <c r="E57" s="83"/>
      <c r="F57" s="83"/>
      <c r="G57" s="83"/>
      <c r="H57" s="83"/>
      <c r="I57" s="82"/>
      <c r="J57" s="82"/>
      <c r="K57" s="82"/>
      <c r="L57" s="82"/>
      <c r="M57" s="82"/>
    </row>
    <row r="58" spans="1:14" ht="15.75" thickBot="1" x14ac:dyDescent="0.3">
      <c r="A58" s="81"/>
      <c r="B58" s="82"/>
      <c r="C58" s="82"/>
      <c r="D58" s="83"/>
      <c r="E58" s="83"/>
      <c r="F58" s="83"/>
      <c r="G58" s="83"/>
      <c r="H58" s="83"/>
      <c r="I58" s="82"/>
      <c r="J58" s="82"/>
      <c r="K58" s="82"/>
      <c r="L58" s="82"/>
      <c r="M58" s="82"/>
    </row>
    <row r="59" spans="1:14" ht="45.75" thickBot="1" x14ac:dyDescent="0.3">
      <c r="A59" s="82"/>
      <c r="B59" s="82"/>
      <c r="C59" s="107" t="s">
        <v>125</v>
      </c>
      <c r="D59" s="108" t="s">
        <v>94</v>
      </c>
      <c r="E59" s="109" t="s">
        <v>95</v>
      </c>
      <c r="F59" s="110" t="s">
        <v>96</v>
      </c>
      <c r="G59" s="111" t="s">
        <v>97</v>
      </c>
      <c r="H59" s="111" t="s">
        <v>98</v>
      </c>
      <c r="I59" s="82"/>
      <c r="J59" s="82"/>
      <c r="K59" s="82"/>
      <c r="L59" s="82"/>
      <c r="M59" s="82"/>
      <c r="N59" s="19"/>
    </row>
    <row r="60" spans="1:14" x14ac:dyDescent="0.25">
      <c r="A60" s="84" t="b">
        <v>1</v>
      </c>
      <c r="B60" s="115" t="s">
        <v>99</v>
      </c>
      <c r="C60" s="201">
        <v>700</v>
      </c>
      <c r="D60" s="116">
        <v>1</v>
      </c>
      <c r="E60" s="105">
        <f>IF(A60=TRUE, (D60+(SUMIFS(table17[Est.
Required Kgs], table17[Material], "LDPE Transparent") + SUMIFS(table17[Est.
Required Kgs], table17[Material], "LDPE White"))/C60), "")</f>
        <v>13.642115669797331</v>
      </c>
      <c r="F60" s="204">
        <v>300</v>
      </c>
      <c r="G60" s="207">
        <f>IFERROR(F60*E60,"")</f>
        <v>4092.6347009391993</v>
      </c>
      <c r="H60" s="300">
        <f>SUMIF($A$60:$A$69,"true",$G$60:$G$69)</f>
        <v>9441.736856218844</v>
      </c>
      <c r="I60" s="82"/>
      <c r="J60" s="82"/>
      <c r="K60" s="82"/>
      <c r="L60" s="82"/>
      <c r="M60" s="82"/>
    </row>
    <row r="61" spans="1:14" x14ac:dyDescent="0.25">
      <c r="A61" s="84" t="b">
        <v>1</v>
      </c>
      <c r="B61" s="119" t="s">
        <v>100</v>
      </c>
      <c r="C61" s="202">
        <v>250</v>
      </c>
      <c r="D61" s="112">
        <v>3</v>
      </c>
      <c r="E61" s="106">
        <f t="shared" ref="E61:E66" si="1">IF(A61=TRUE, D61+(OQM/C61/60),"")</f>
        <v>8.6539340072822668</v>
      </c>
      <c r="F61" s="205">
        <v>300</v>
      </c>
      <c r="G61" s="208">
        <f t="shared" ref="G61:G69" si="2">IFERROR(F61*E61,"")</f>
        <v>2596.1802021846802</v>
      </c>
      <c r="H61" s="301"/>
      <c r="I61" s="82"/>
      <c r="J61" s="85"/>
      <c r="K61" s="82"/>
      <c r="L61" s="82"/>
      <c r="M61" s="82"/>
    </row>
    <row r="62" spans="1:14" x14ac:dyDescent="0.25">
      <c r="A62" s="84" t="b">
        <v>1</v>
      </c>
      <c r="B62" s="119" t="s">
        <v>101</v>
      </c>
      <c r="C62" s="202">
        <v>500</v>
      </c>
      <c r="D62" s="112">
        <v>0.5</v>
      </c>
      <c r="E62" s="106">
        <f t="shared" si="1"/>
        <v>3.3269670036411338</v>
      </c>
      <c r="F62" s="205">
        <v>50</v>
      </c>
      <c r="G62" s="208">
        <f t="shared" si="2"/>
        <v>166.34835018205669</v>
      </c>
      <c r="H62" s="301"/>
      <c r="I62" s="82"/>
      <c r="J62" s="86"/>
      <c r="K62" s="82"/>
      <c r="L62" s="82"/>
      <c r="M62" s="82"/>
    </row>
    <row r="63" spans="1:14" x14ac:dyDescent="0.25">
      <c r="A63" s="84" t="b">
        <v>1</v>
      </c>
      <c r="B63" s="119" t="s">
        <v>102</v>
      </c>
      <c r="C63" s="202">
        <v>200</v>
      </c>
      <c r="D63" s="112">
        <v>1</v>
      </c>
      <c r="E63" s="106">
        <f t="shared" si="1"/>
        <v>8.0674175091028353</v>
      </c>
      <c r="F63" s="205">
        <v>100</v>
      </c>
      <c r="G63" s="208">
        <f t="shared" si="2"/>
        <v>806.74175091028349</v>
      </c>
      <c r="H63" s="301"/>
      <c r="I63" s="82"/>
      <c r="J63" s="86"/>
      <c r="K63" s="82"/>
      <c r="L63" s="82"/>
      <c r="M63" s="82"/>
    </row>
    <row r="64" spans="1:14" x14ac:dyDescent="0.25">
      <c r="A64" s="84" t="b">
        <v>1</v>
      </c>
      <c r="B64" s="119" t="s">
        <v>103</v>
      </c>
      <c r="C64" s="202">
        <v>200</v>
      </c>
      <c r="D64" s="112">
        <v>1</v>
      </c>
      <c r="E64" s="106">
        <f t="shared" si="1"/>
        <v>8.0674175091028353</v>
      </c>
      <c r="F64" s="205">
        <v>100</v>
      </c>
      <c r="G64" s="208">
        <f t="shared" si="2"/>
        <v>806.74175091028349</v>
      </c>
      <c r="H64" s="301"/>
      <c r="I64" s="82"/>
      <c r="J64" s="86"/>
      <c r="K64" s="82"/>
      <c r="L64" s="82"/>
      <c r="M64" s="82"/>
    </row>
    <row r="65" spans="1:15" x14ac:dyDescent="0.25">
      <c r="A65" s="84" t="b">
        <v>1</v>
      </c>
      <c r="B65" s="119" t="s">
        <v>126</v>
      </c>
      <c r="C65" s="202">
        <v>200</v>
      </c>
      <c r="D65" s="112">
        <v>1</v>
      </c>
      <c r="E65" s="106">
        <f t="shared" si="1"/>
        <v>8.0674175091028353</v>
      </c>
      <c r="F65" s="205">
        <v>100</v>
      </c>
      <c r="G65" s="208">
        <f t="shared" si="2"/>
        <v>806.74175091028349</v>
      </c>
      <c r="H65" s="301"/>
      <c r="I65" s="82"/>
      <c r="J65" s="86"/>
      <c r="K65" s="82"/>
      <c r="L65" s="82"/>
      <c r="M65" s="82"/>
    </row>
    <row r="66" spans="1:15" x14ac:dyDescent="0.25">
      <c r="A66" s="84" t="b">
        <v>1</v>
      </c>
      <c r="B66" s="119" t="s">
        <v>104</v>
      </c>
      <c r="C66" s="202">
        <v>500</v>
      </c>
      <c r="D66" s="112">
        <v>0.5</v>
      </c>
      <c r="E66" s="106">
        <f t="shared" si="1"/>
        <v>3.3269670036411338</v>
      </c>
      <c r="F66" s="205">
        <v>50</v>
      </c>
      <c r="G66" s="208">
        <f t="shared" si="2"/>
        <v>166.34835018205669</v>
      </c>
      <c r="H66" s="301"/>
      <c r="I66" s="82"/>
      <c r="J66" s="82"/>
      <c r="K66" s="82"/>
      <c r="L66" s="82"/>
      <c r="M66" s="82"/>
    </row>
    <row r="67" spans="1:15" x14ac:dyDescent="0.25">
      <c r="A67" s="84" t="b">
        <v>0</v>
      </c>
      <c r="B67" s="119" t="s">
        <v>105</v>
      </c>
      <c r="C67" s="202">
        <v>0</v>
      </c>
      <c r="D67" s="112">
        <v>0</v>
      </c>
      <c r="E67" s="106">
        <v>0</v>
      </c>
      <c r="F67" s="205">
        <v>0</v>
      </c>
      <c r="G67" s="208">
        <f t="shared" si="2"/>
        <v>0</v>
      </c>
      <c r="H67" s="301"/>
      <c r="I67" s="82"/>
      <c r="J67" s="82"/>
      <c r="K67" s="82"/>
      <c r="L67" s="82"/>
      <c r="M67" s="82"/>
    </row>
    <row r="68" spans="1:15" x14ac:dyDescent="0.25">
      <c r="A68" s="84" t="b">
        <v>0</v>
      </c>
      <c r="B68" s="119" t="s">
        <v>106</v>
      </c>
      <c r="C68" s="202">
        <v>0</v>
      </c>
      <c r="D68" s="112">
        <v>0</v>
      </c>
      <c r="E68" s="106">
        <v>0</v>
      </c>
      <c r="F68" s="205">
        <v>0</v>
      </c>
      <c r="G68" s="208">
        <f t="shared" si="2"/>
        <v>0</v>
      </c>
      <c r="H68" s="301"/>
      <c r="I68" s="82"/>
      <c r="J68" s="82"/>
      <c r="K68" s="82"/>
      <c r="L68" s="82"/>
      <c r="M68" s="82"/>
    </row>
    <row r="69" spans="1:15" ht="15.75" thickBot="1" x14ac:dyDescent="0.3">
      <c r="A69" s="84" t="b">
        <v>0</v>
      </c>
      <c r="B69" s="120" t="s">
        <v>127</v>
      </c>
      <c r="C69" s="203">
        <v>0</v>
      </c>
      <c r="D69" s="121">
        <v>0</v>
      </c>
      <c r="E69" s="126">
        <v>0</v>
      </c>
      <c r="F69" s="206">
        <v>0</v>
      </c>
      <c r="G69" s="209">
        <f t="shared" si="2"/>
        <v>0</v>
      </c>
      <c r="H69" s="302"/>
      <c r="I69" s="82"/>
      <c r="J69" s="82"/>
      <c r="K69" s="82"/>
      <c r="L69" s="82"/>
      <c r="M69" s="82"/>
    </row>
    <row r="70" spans="1:15" x14ac:dyDescent="0.25">
      <c r="A70" s="82"/>
      <c r="B70" s="82"/>
      <c r="C70" s="82"/>
      <c r="D70" s="82"/>
      <c r="E70" s="82"/>
      <c r="F70" s="82"/>
      <c r="G70" s="87" t="s">
        <v>109</v>
      </c>
      <c r="H70" s="137">
        <f>H60/OQKG</f>
        <v>0.94417368562188442</v>
      </c>
      <c r="I70" s="82"/>
      <c r="J70" s="82"/>
      <c r="K70" s="82"/>
      <c r="L70" s="82"/>
      <c r="M70" s="82"/>
    </row>
    <row r="71" spans="1:15" x14ac:dyDescent="0.2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</row>
    <row r="72" spans="1:15" ht="15.75" thickBot="1" x14ac:dyDescent="0.3">
      <c r="A72" s="82"/>
      <c r="B72" s="86" t="s">
        <v>128</v>
      </c>
      <c r="C72" s="82"/>
      <c r="D72" s="82"/>
      <c r="E72" s="83"/>
      <c r="F72" s="83"/>
      <c r="G72" s="83"/>
      <c r="H72" s="83"/>
      <c r="I72" s="83"/>
      <c r="J72" s="83"/>
      <c r="K72" s="82"/>
      <c r="L72" s="82"/>
      <c r="M72" s="82"/>
    </row>
    <row r="73" spans="1:15" x14ac:dyDescent="0.25">
      <c r="B73" s="303"/>
      <c r="C73" s="304" t="s">
        <v>41</v>
      </c>
      <c r="D73" s="80" t="s">
        <v>91</v>
      </c>
      <c r="E73" s="306" t="s">
        <v>42</v>
      </c>
      <c r="F73" s="308" t="s">
        <v>43</v>
      </c>
      <c r="G73" s="308" t="s">
        <v>107</v>
      </c>
      <c r="H73" s="297" t="s">
        <v>44</v>
      </c>
      <c r="I73" s="83"/>
      <c r="J73" s="89"/>
      <c r="K73" s="89"/>
      <c r="L73" s="89"/>
      <c r="M73" s="89"/>
      <c r="N73" s="39"/>
      <c r="O73" s="39"/>
    </row>
    <row r="74" spans="1:15" ht="15.75" thickBot="1" x14ac:dyDescent="0.3">
      <c r="A74" s="82"/>
      <c r="B74" s="303"/>
      <c r="C74" s="305"/>
      <c r="D74" s="181">
        <v>0.3</v>
      </c>
      <c r="E74" s="307"/>
      <c r="F74" s="309"/>
      <c r="G74" s="309"/>
      <c r="H74" s="298"/>
      <c r="I74" s="83"/>
      <c r="J74" s="90"/>
      <c r="K74" s="90"/>
      <c r="L74" s="90"/>
      <c r="M74" s="90"/>
      <c r="N74" s="40"/>
      <c r="O74" s="40"/>
    </row>
    <row r="75" spans="1:15" x14ac:dyDescent="0.25">
      <c r="A75" s="82"/>
      <c r="B75" s="182" t="s">
        <v>45</v>
      </c>
      <c r="C75" s="183">
        <f>(B38/B37*1000)</f>
        <v>1.9375865051903116</v>
      </c>
      <c r="D75" s="183">
        <f>C75*D74</f>
        <v>0.58127595155709344</v>
      </c>
      <c r="E75" s="184">
        <v>0.1</v>
      </c>
      <c r="F75" s="184">
        <v>0.2</v>
      </c>
      <c r="G75" s="185">
        <f>H70</f>
        <v>0.94417368562188442</v>
      </c>
      <c r="H75" s="186">
        <f>SUM(C75:G75)</f>
        <v>3.7630361423692897</v>
      </c>
      <c r="I75" s="83"/>
      <c r="J75" s="88"/>
      <c r="K75" s="88"/>
      <c r="L75" s="88"/>
      <c r="M75" s="88"/>
      <c r="N75" s="15"/>
      <c r="O75" s="15"/>
    </row>
    <row r="76" spans="1:15" x14ac:dyDescent="0.25">
      <c r="A76" s="82"/>
      <c r="B76" s="187" t="s">
        <v>46</v>
      </c>
      <c r="C76" s="91">
        <f>(C75/$E$35)*1000</f>
        <v>5.5996250000000005</v>
      </c>
      <c r="D76" s="91">
        <f>(D75/$E$35)*1000</f>
        <v>1.6798875</v>
      </c>
      <c r="E76" s="91">
        <f>(E75/$E$35)*1000</f>
        <v>0.28900000000000003</v>
      </c>
      <c r="F76" s="91">
        <f>(F75/$E$35)*1000</f>
        <v>0.57800000000000007</v>
      </c>
      <c r="G76" s="91">
        <f>(G75/$E$35)*1000</f>
        <v>2.7286619514472461</v>
      </c>
      <c r="H76" s="188">
        <f>SUM(C76:G76)</f>
        <v>10.875174451447247</v>
      </c>
      <c r="I76" s="83"/>
      <c r="J76" s="88"/>
      <c r="K76" s="88"/>
      <c r="L76" s="88"/>
      <c r="M76" s="88"/>
      <c r="N76" s="15"/>
      <c r="O76" s="15"/>
    </row>
    <row r="77" spans="1:15" x14ac:dyDescent="0.25">
      <c r="A77" s="82"/>
      <c r="B77" s="187" t="s">
        <v>90</v>
      </c>
      <c r="C77" s="92">
        <f>(C75/$E$37)</f>
        <v>0.22398500000000002</v>
      </c>
      <c r="D77" s="92">
        <f t="shared" ref="D77:G77" si="3">(D75/$E$37)</f>
        <v>6.7195500000000005E-2</v>
      </c>
      <c r="E77" s="92">
        <f t="shared" si="3"/>
        <v>1.1560000000000001E-2</v>
      </c>
      <c r="F77" s="92">
        <f t="shared" si="3"/>
        <v>2.3120000000000002E-2</v>
      </c>
      <c r="G77" s="92">
        <f t="shared" si="3"/>
        <v>0.10914647805788984</v>
      </c>
      <c r="H77" s="189">
        <f>SUM(C77:G77)</f>
        <v>0.43500697805788985</v>
      </c>
      <c r="I77" s="83"/>
      <c r="J77" s="93"/>
      <c r="K77" s="93"/>
      <c r="L77" s="93"/>
      <c r="M77" s="93"/>
      <c r="N77" s="41"/>
      <c r="O77" s="41"/>
    </row>
    <row r="78" spans="1:15" x14ac:dyDescent="0.25">
      <c r="A78" s="82"/>
      <c r="B78" s="187" t="s">
        <v>47</v>
      </c>
      <c r="C78" s="92">
        <f>(C75/$E$39)</f>
        <v>5.5996250000000004E-2</v>
      </c>
      <c r="D78" s="92">
        <f>(D75/$E$39)</f>
        <v>1.6798875000000001E-2</v>
      </c>
      <c r="E78" s="92">
        <f>(E75/$E$39)</f>
        <v>2.8900000000000002E-3</v>
      </c>
      <c r="F78" s="92">
        <f>(F75/$E$39)</f>
        <v>5.7800000000000004E-3</v>
      </c>
      <c r="G78" s="92">
        <f>(G75/$E$39)</f>
        <v>2.7286619514472459E-2</v>
      </c>
      <c r="H78" s="189">
        <f>SUM(C78:G78)</f>
        <v>0.10875174451447246</v>
      </c>
      <c r="I78" s="83"/>
      <c r="J78" s="93"/>
      <c r="K78" s="93"/>
      <c r="L78" s="93"/>
      <c r="M78" s="93"/>
      <c r="N78" s="41"/>
      <c r="O78" s="41"/>
    </row>
    <row r="79" spans="1:15" ht="15.75" thickBot="1" x14ac:dyDescent="0.3">
      <c r="B79" s="190" t="s">
        <v>154</v>
      </c>
      <c r="C79" s="191">
        <f>C78*500</f>
        <v>27.998125000000002</v>
      </c>
      <c r="D79" s="191">
        <f>D78*500</f>
        <v>8.3994375000000012</v>
      </c>
      <c r="E79" s="191">
        <f t="shared" ref="E79:G79" si="4">E78*500</f>
        <v>1.4450000000000001</v>
      </c>
      <c r="F79" s="191">
        <f t="shared" si="4"/>
        <v>2.89</v>
      </c>
      <c r="G79" s="191">
        <f t="shared" si="4"/>
        <v>13.64330975723623</v>
      </c>
      <c r="H79" s="192">
        <f>SUM(C79:G79)</f>
        <v>54.375872257236239</v>
      </c>
      <c r="I79" s="220"/>
      <c r="J79" s="221"/>
      <c r="K79" s="41"/>
      <c r="L79" s="41"/>
      <c r="M79" s="41"/>
      <c r="N79" s="41"/>
      <c r="O79" s="41"/>
    </row>
    <row r="80" spans="1:15" x14ac:dyDescent="0.25">
      <c r="A80" s="54"/>
      <c r="B80" s="41"/>
      <c r="C80" s="41"/>
      <c r="D80" s="41"/>
      <c r="E80" s="41"/>
      <c r="F80" s="41"/>
      <c r="G80" s="41"/>
      <c r="H80" s="10"/>
      <c r="I80" s="41"/>
      <c r="J80" s="41"/>
      <c r="K80" s="41"/>
      <c r="L80" s="41"/>
      <c r="M80" s="41"/>
      <c r="N80" s="41"/>
    </row>
    <row r="81" spans="1:25" x14ac:dyDescent="0.25">
      <c r="A81" s="54"/>
      <c r="B81" s="41"/>
      <c r="C81" s="41"/>
      <c r="D81" s="41"/>
      <c r="E81" s="41"/>
      <c r="F81" s="41"/>
      <c r="G81" s="41"/>
      <c r="H81" s="10"/>
      <c r="I81" s="41"/>
      <c r="J81" s="41"/>
      <c r="K81" s="41"/>
      <c r="L81" s="41"/>
      <c r="M81" s="41"/>
      <c r="N81" s="41"/>
    </row>
    <row r="82" spans="1:25" ht="26.25" x14ac:dyDescent="0.25">
      <c r="A82" s="54"/>
      <c r="B82" s="41"/>
      <c r="C82" s="41"/>
      <c r="D82" s="41"/>
      <c r="E82" s="41"/>
      <c r="F82" s="41"/>
      <c r="G82" s="10"/>
      <c r="H82" s="291"/>
      <c r="I82" s="291"/>
      <c r="J82" s="291"/>
      <c r="K82" s="41"/>
      <c r="L82" s="41"/>
      <c r="M82" s="41"/>
      <c r="N82" s="41"/>
    </row>
    <row r="83" spans="1:25" ht="18.75" x14ac:dyDescent="0.3">
      <c r="A83" s="54"/>
      <c r="B83" s="292" t="s">
        <v>136</v>
      </c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41"/>
      <c r="N83" s="41"/>
    </row>
    <row r="84" spans="1:25" x14ac:dyDescent="0.25">
      <c r="A84" s="54"/>
      <c r="B84" s="41"/>
      <c r="C84" s="41"/>
      <c r="D84" s="41"/>
      <c r="E84" s="41"/>
      <c r="F84" s="41"/>
      <c r="G84" s="10"/>
      <c r="H84" s="41"/>
      <c r="I84" s="41"/>
      <c r="J84" s="41"/>
      <c r="K84" s="41"/>
      <c r="L84" s="41"/>
      <c r="M84" s="41"/>
      <c r="N84" s="41"/>
    </row>
    <row r="85" spans="1:25" ht="15.75" x14ac:dyDescent="0.25">
      <c r="A85" s="54"/>
      <c r="B85" s="150" t="s">
        <v>137</v>
      </c>
      <c r="C85" s="138">
        <v>10500</v>
      </c>
      <c r="D85" s="139" t="s">
        <v>2</v>
      </c>
      <c r="E85" s="41"/>
      <c r="F85" s="41"/>
      <c r="G85" s="10"/>
      <c r="H85" s="41"/>
      <c r="I85" s="41"/>
      <c r="J85" s="41"/>
      <c r="K85" s="41"/>
      <c r="L85" s="41"/>
      <c r="M85" s="41"/>
      <c r="N85" s="41"/>
    </row>
    <row r="86" spans="1:25" x14ac:dyDescent="0.25">
      <c r="A86" s="54"/>
      <c r="B86" s="41"/>
      <c r="C86" s="41"/>
      <c r="D86" s="41"/>
      <c r="E86" s="41"/>
      <c r="F86" s="41"/>
      <c r="G86" s="10"/>
      <c r="H86" s="41"/>
      <c r="I86" s="41"/>
      <c r="J86" s="41"/>
      <c r="K86" s="41"/>
      <c r="L86" s="41"/>
      <c r="M86" s="41"/>
      <c r="N86" s="41"/>
      <c r="R86" s="20"/>
      <c r="S86" s="20"/>
    </row>
    <row r="87" spans="1:25" ht="14.25" customHeight="1" x14ac:dyDescent="0.25">
      <c r="A87" s="54"/>
      <c r="B87" s="41"/>
      <c r="C87" s="41"/>
      <c r="D87" s="41"/>
      <c r="E87" s="41"/>
      <c r="F87" s="41"/>
      <c r="G87" s="10"/>
      <c r="H87" s="214"/>
      <c r="I87" s="214"/>
      <c r="J87" s="17"/>
      <c r="K87" s="214"/>
      <c r="L87" s="214"/>
      <c r="M87" s="41"/>
      <c r="N87" s="41"/>
      <c r="S87" s="130"/>
    </row>
    <row r="88" spans="1:25" x14ac:dyDescent="0.25">
      <c r="A88" s="54"/>
      <c r="B88" s="41"/>
      <c r="C88" s="41"/>
      <c r="D88" s="41"/>
      <c r="E88" s="41"/>
      <c r="F88" s="41"/>
      <c r="G88" s="10"/>
      <c r="H88" s="293"/>
      <c r="I88" s="293"/>
      <c r="J88" s="213"/>
      <c r="K88" s="293"/>
      <c r="L88" s="293"/>
      <c r="M88" s="41"/>
      <c r="N88" s="41"/>
      <c r="S88" s="130"/>
    </row>
    <row r="89" spans="1:25" ht="15.75" thickBot="1" x14ac:dyDescent="0.3">
      <c r="A89" s="54"/>
      <c r="B89" s="41"/>
      <c r="C89" s="41"/>
      <c r="D89" s="41"/>
      <c r="E89" s="41"/>
      <c r="F89" s="41"/>
      <c r="G89" s="10"/>
      <c r="M89" s="41"/>
      <c r="N89" s="41"/>
    </row>
    <row r="90" spans="1:25" ht="30.75" thickBot="1" x14ac:dyDescent="0.3">
      <c r="A90" s="54"/>
      <c r="B90" s="155" t="s">
        <v>12</v>
      </c>
      <c r="C90" s="156" t="s">
        <v>138</v>
      </c>
      <c r="D90" s="156" t="s">
        <v>16</v>
      </c>
      <c r="E90" s="157" t="s">
        <v>140</v>
      </c>
      <c r="F90" s="164" t="s">
        <v>149</v>
      </c>
      <c r="G90" s="10"/>
      <c r="M90" s="41"/>
      <c r="N90" s="41"/>
    </row>
    <row r="91" spans="1:25" x14ac:dyDescent="0.25">
      <c r="A91" s="54"/>
      <c r="B91" s="143" t="str">
        <f t="shared" ref="B91:B103" si="5">IF(ISTEXT(B25), B25, "")</f>
        <v>PET Transparent</v>
      </c>
      <c r="C91" s="152">
        <v>1700</v>
      </c>
      <c r="D91" s="144">
        <f t="shared" ref="D91:D103" si="6">IF(B91&lt;&gt;"", G25, "")</f>
        <v>1.5</v>
      </c>
      <c r="E91" s="145">
        <f>IFERROR(D91*C91,"")</f>
        <v>2550</v>
      </c>
      <c r="F91" s="163">
        <f>IFERROR(E91/$E$105,"")</f>
        <v>0.12819384920884286</v>
      </c>
      <c r="G91" s="10"/>
      <c r="M91" s="41"/>
      <c r="N91" s="41"/>
      <c r="O91" s="41"/>
      <c r="X91" s="101"/>
      <c r="Y91" s="101"/>
    </row>
    <row r="92" spans="1:25" x14ac:dyDescent="0.25">
      <c r="A92" s="54"/>
      <c r="B92" s="146" t="str">
        <f t="shared" si="5"/>
        <v>All Colors</v>
      </c>
      <c r="C92" s="153">
        <v>150</v>
      </c>
      <c r="D92" s="142">
        <f t="shared" si="6"/>
        <v>4.5999999999999996</v>
      </c>
      <c r="E92" s="147">
        <f t="shared" ref="E92:E104" si="7">IFERROR(D92*C92,"")</f>
        <v>690</v>
      </c>
      <c r="F92" s="163">
        <f t="shared" ref="F92:F104" si="8">IFERROR(E92/$E$105,"")</f>
        <v>3.468774743298101E-2</v>
      </c>
      <c r="G92" s="10"/>
      <c r="M92" s="41"/>
      <c r="N92" s="41"/>
      <c r="O92" s="41"/>
      <c r="Q92" s="294" t="s">
        <v>159</v>
      </c>
      <c r="R92" s="294"/>
      <c r="S92" s="112">
        <f>H75</f>
        <v>3.7630361423692897</v>
      </c>
      <c r="T92" s="210" t="s">
        <v>162</v>
      </c>
    </row>
    <row r="93" spans="1:25" x14ac:dyDescent="0.25">
      <c r="B93" s="146" t="str">
        <f t="shared" si="5"/>
        <v>Solvent Base</v>
      </c>
      <c r="C93" s="153">
        <v>605</v>
      </c>
      <c r="D93" s="142">
        <f t="shared" si="6"/>
        <v>3.35</v>
      </c>
      <c r="E93" s="147">
        <f t="shared" si="7"/>
        <v>2026.75</v>
      </c>
      <c r="F93" s="163">
        <f t="shared" si="8"/>
        <v>0.1018889740721656</v>
      </c>
      <c r="K93" s="2"/>
      <c r="L93" s="2"/>
    </row>
    <row r="94" spans="1:25" x14ac:dyDescent="0.25">
      <c r="A94" s="53"/>
      <c r="B94" s="146" t="str">
        <f t="shared" si="5"/>
        <v>LDPE White</v>
      </c>
      <c r="C94" s="153">
        <v>9300</v>
      </c>
      <c r="D94" s="142">
        <f t="shared" si="6"/>
        <v>1.25</v>
      </c>
      <c r="E94" s="147">
        <f t="shared" si="7"/>
        <v>11625</v>
      </c>
      <c r="F94" s="163">
        <f t="shared" si="8"/>
        <v>0.58441313609913659</v>
      </c>
      <c r="L94" s="43"/>
      <c r="R94" s="215" t="s">
        <v>45</v>
      </c>
      <c r="S94" s="216" t="s">
        <v>160</v>
      </c>
      <c r="T94" s="295" t="s">
        <v>148</v>
      </c>
      <c r="U94" s="296"/>
    </row>
    <row r="95" spans="1:25" x14ac:dyDescent="0.25">
      <c r="A95" s="53"/>
      <c r="B95" s="146" t="str">
        <f t="shared" si="5"/>
        <v>Wraping Film</v>
      </c>
      <c r="C95" s="153"/>
      <c r="D95" s="142">
        <f t="shared" si="6"/>
        <v>0</v>
      </c>
      <c r="E95" s="147">
        <f t="shared" si="7"/>
        <v>0</v>
      </c>
      <c r="F95" s="163">
        <f t="shared" si="8"/>
        <v>0</v>
      </c>
      <c r="I95" s="3"/>
      <c r="Q95" s="212" t="s">
        <v>161</v>
      </c>
      <c r="R95" s="175">
        <f>C75+H70</f>
        <v>2.8817601908121961</v>
      </c>
      <c r="S95" s="211">
        <f>R95/S92</f>
        <v>0.76580720508248346</v>
      </c>
      <c r="T95" s="287">
        <f>R96-R95</f>
        <v>-6.8260190812196253E-2</v>
      </c>
      <c r="U95" s="289">
        <f>(R96-R95)/R95</f>
        <v>-2.368697819819552E-2</v>
      </c>
    </row>
    <row r="96" spans="1:25" x14ac:dyDescent="0.25">
      <c r="A96" s="53"/>
      <c r="B96" s="146" t="str">
        <f t="shared" si="5"/>
        <v/>
      </c>
      <c r="C96" s="153"/>
      <c r="D96" s="142" t="str">
        <f t="shared" si="6"/>
        <v/>
      </c>
      <c r="E96" s="147" t="str">
        <f t="shared" si="7"/>
        <v/>
      </c>
      <c r="F96" s="163" t="str">
        <f t="shared" si="8"/>
        <v/>
      </c>
      <c r="I96" s="3"/>
      <c r="Q96" s="212" t="s">
        <v>158</v>
      </c>
      <c r="R96" s="175">
        <f>E106+E122</f>
        <v>2.8134999999999999</v>
      </c>
      <c r="S96" s="211">
        <f>R96/S92</f>
        <v>0.74766754651167366</v>
      </c>
      <c r="T96" s="288"/>
      <c r="U96" s="289"/>
    </row>
    <row r="97" spans="1:19" x14ac:dyDescent="0.25">
      <c r="A97" s="53"/>
      <c r="B97" s="146" t="str">
        <f t="shared" si="5"/>
        <v/>
      </c>
      <c r="C97" s="153"/>
      <c r="D97" s="142" t="str">
        <f t="shared" si="6"/>
        <v/>
      </c>
      <c r="E97" s="147" t="str">
        <f t="shared" si="7"/>
        <v/>
      </c>
      <c r="F97" s="163" t="str">
        <f t="shared" si="8"/>
        <v/>
      </c>
      <c r="Q97" s="219" t="s">
        <v>156</v>
      </c>
      <c r="R97" s="217">
        <f>S92-R95</f>
        <v>0.8812759515570936</v>
      </c>
      <c r="S97" s="218">
        <f>R97/S92</f>
        <v>0.23419279491751652</v>
      </c>
    </row>
    <row r="98" spans="1:19" x14ac:dyDescent="0.25">
      <c r="A98" s="53"/>
      <c r="B98" s="146" t="str">
        <f t="shared" si="5"/>
        <v/>
      </c>
      <c r="C98" s="153"/>
      <c r="D98" s="142" t="str">
        <f t="shared" si="6"/>
        <v/>
      </c>
      <c r="E98" s="147" t="str">
        <f t="shared" si="7"/>
        <v/>
      </c>
      <c r="F98" s="163" t="str">
        <f t="shared" si="8"/>
        <v/>
      </c>
      <c r="Q98" s="212" t="s">
        <v>157</v>
      </c>
      <c r="R98" s="175">
        <f>S92-R96</f>
        <v>0.94953614236928985</v>
      </c>
      <c r="S98" s="211">
        <f>R98/S92</f>
        <v>0.25233245348832634</v>
      </c>
    </row>
    <row r="99" spans="1:19" x14ac:dyDescent="0.25">
      <c r="A99" s="53"/>
      <c r="B99" s="146" t="str">
        <f t="shared" si="5"/>
        <v/>
      </c>
      <c r="C99" s="153"/>
      <c r="D99" s="142" t="str">
        <f t="shared" si="6"/>
        <v/>
      </c>
      <c r="E99" s="147" t="str">
        <f t="shared" si="7"/>
        <v/>
      </c>
      <c r="F99" s="163" t="str">
        <f t="shared" si="8"/>
        <v/>
      </c>
    </row>
    <row r="100" spans="1:19" x14ac:dyDescent="0.25">
      <c r="A100" s="53"/>
      <c r="B100" s="146" t="str">
        <f t="shared" si="5"/>
        <v/>
      </c>
      <c r="C100" s="153"/>
      <c r="D100" s="142" t="str">
        <f t="shared" si="6"/>
        <v/>
      </c>
      <c r="E100" s="147" t="str">
        <f t="shared" si="7"/>
        <v/>
      </c>
      <c r="F100" s="163" t="str">
        <f t="shared" si="8"/>
        <v/>
      </c>
    </row>
    <row r="101" spans="1:19" x14ac:dyDescent="0.25">
      <c r="A101" s="53"/>
      <c r="B101" s="146" t="str">
        <f t="shared" si="5"/>
        <v/>
      </c>
      <c r="C101" s="153"/>
      <c r="D101" s="142" t="str">
        <f t="shared" si="6"/>
        <v/>
      </c>
      <c r="E101" s="147" t="str">
        <f t="shared" si="7"/>
        <v/>
      </c>
      <c r="F101" s="163" t="str">
        <f t="shared" si="8"/>
        <v/>
      </c>
    </row>
    <row r="102" spans="1:19" x14ac:dyDescent="0.25">
      <c r="A102" s="53"/>
      <c r="B102" s="146" t="str">
        <f t="shared" si="5"/>
        <v/>
      </c>
      <c r="C102" s="153"/>
      <c r="D102" s="142" t="str">
        <f t="shared" si="6"/>
        <v/>
      </c>
      <c r="E102" s="147" t="str">
        <f t="shared" si="7"/>
        <v/>
      </c>
      <c r="F102" s="163" t="str">
        <f t="shared" si="8"/>
        <v/>
      </c>
    </row>
    <row r="103" spans="1:19" x14ac:dyDescent="0.25">
      <c r="A103" s="53"/>
      <c r="B103" s="146" t="str">
        <f t="shared" si="5"/>
        <v/>
      </c>
      <c r="C103" s="153"/>
      <c r="D103" s="142" t="str">
        <f t="shared" si="6"/>
        <v/>
      </c>
      <c r="E103" s="147" t="str">
        <f t="shared" si="7"/>
        <v/>
      </c>
      <c r="F103" s="163" t="str">
        <f t="shared" si="8"/>
        <v/>
      </c>
    </row>
    <row r="104" spans="1:19" ht="15.75" thickBot="1" x14ac:dyDescent="0.3">
      <c r="B104" s="148" t="s">
        <v>139</v>
      </c>
      <c r="C104" s="154">
        <v>2000</v>
      </c>
      <c r="D104" s="151">
        <f>G31</f>
        <v>1.5</v>
      </c>
      <c r="E104" s="149">
        <f t="shared" si="7"/>
        <v>3000</v>
      </c>
      <c r="F104" s="163">
        <f t="shared" si="8"/>
        <v>0.15081629318687395</v>
      </c>
    </row>
    <row r="105" spans="1:19" x14ac:dyDescent="0.25">
      <c r="B105" s="41"/>
      <c r="E105" s="141">
        <f>SUM(E91:E104)</f>
        <v>19891.75</v>
      </c>
    </row>
    <row r="106" spans="1:19" x14ac:dyDescent="0.25">
      <c r="B106" s="41"/>
      <c r="D106" s="87" t="s">
        <v>141</v>
      </c>
      <c r="E106" s="140">
        <f>E105/C85</f>
        <v>1.894452380952381</v>
      </c>
    </row>
    <row r="107" spans="1:19" x14ac:dyDescent="0.25">
      <c r="B107" s="41"/>
      <c r="D107" s="87" t="s">
        <v>142</v>
      </c>
      <c r="E107" s="159">
        <f>(E106-C75)/C75</f>
        <v>-2.2261779859833377E-2</v>
      </c>
    </row>
    <row r="108" spans="1:19" x14ac:dyDescent="0.25">
      <c r="B108" s="41"/>
    </row>
    <row r="109" spans="1:19" ht="15.75" thickBot="1" x14ac:dyDescent="0.3">
      <c r="B109" s="41"/>
      <c r="E109" s="4"/>
    </row>
    <row r="110" spans="1:19" ht="30.75" thickBot="1" x14ac:dyDescent="0.3">
      <c r="B110" s="155" t="s">
        <v>143</v>
      </c>
      <c r="C110" s="155" t="s">
        <v>144</v>
      </c>
      <c r="D110" s="155" t="s">
        <v>96</v>
      </c>
      <c r="E110" s="157" t="s">
        <v>140</v>
      </c>
      <c r="F110" s="164" t="s">
        <v>149</v>
      </c>
    </row>
    <row r="111" spans="1:19" x14ac:dyDescent="0.25">
      <c r="B111" s="143" t="str">
        <f t="shared" ref="B111:B120" si="9">IF(A60=TRUE, B60, "")</f>
        <v>Extrusion</v>
      </c>
      <c r="C111" s="116">
        <v>13</v>
      </c>
      <c r="D111" s="158">
        <f t="shared" ref="D111:D120" si="10">IF(B111&lt;&gt;"", F60, "")</f>
        <v>300</v>
      </c>
      <c r="E111" s="145">
        <f>IFERROR(D111*C111,"")</f>
        <v>3900</v>
      </c>
      <c r="F111" s="163">
        <f>IFERROR(E111/$E$121,"")</f>
        <v>0.40414507772020725</v>
      </c>
    </row>
    <row r="112" spans="1:19" x14ac:dyDescent="0.25">
      <c r="B112" s="146" t="str">
        <f t="shared" si="9"/>
        <v>Printing</v>
      </c>
      <c r="C112" s="112">
        <v>7</v>
      </c>
      <c r="D112" s="160">
        <f t="shared" si="10"/>
        <v>300</v>
      </c>
      <c r="E112" s="147">
        <f t="shared" ref="E112:E120" si="11">IFERROR(D112*C112,"")</f>
        <v>2100</v>
      </c>
      <c r="F112" s="163">
        <f t="shared" ref="F112:F120" si="12">IFERROR(E112/$E$121,"")</f>
        <v>0.21761658031088082</v>
      </c>
    </row>
    <row r="113" spans="2:6" x14ac:dyDescent="0.25">
      <c r="B113" s="146" t="str">
        <f t="shared" si="9"/>
        <v>Rewinding</v>
      </c>
      <c r="C113" s="112">
        <v>4</v>
      </c>
      <c r="D113" s="160">
        <f t="shared" si="10"/>
        <v>50</v>
      </c>
      <c r="E113" s="147">
        <f t="shared" si="11"/>
        <v>200</v>
      </c>
      <c r="F113" s="163">
        <f t="shared" si="12"/>
        <v>2.072538860103627E-2</v>
      </c>
    </row>
    <row r="114" spans="2:6" x14ac:dyDescent="0.25">
      <c r="B114" s="146" t="str">
        <f t="shared" si="9"/>
        <v>Lamination 1</v>
      </c>
      <c r="C114" s="112">
        <v>10</v>
      </c>
      <c r="D114" s="160">
        <f t="shared" si="10"/>
        <v>100</v>
      </c>
      <c r="E114" s="147">
        <f t="shared" si="11"/>
        <v>1000</v>
      </c>
      <c r="F114" s="163">
        <f t="shared" si="12"/>
        <v>0.10362694300518134</v>
      </c>
    </row>
    <row r="115" spans="2:6" x14ac:dyDescent="0.25">
      <c r="B115" s="146" t="str">
        <f t="shared" si="9"/>
        <v>Lamination 2</v>
      </c>
      <c r="C115" s="112">
        <v>10</v>
      </c>
      <c r="D115" s="160">
        <f t="shared" si="10"/>
        <v>100</v>
      </c>
      <c r="E115" s="147">
        <f t="shared" si="11"/>
        <v>1000</v>
      </c>
      <c r="F115" s="163">
        <f t="shared" si="12"/>
        <v>0.10362694300518134</v>
      </c>
    </row>
    <row r="116" spans="2:6" x14ac:dyDescent="0.25">
      <c r="B116" s="146" t="str">
        <f t="shared" si="9"/>
        <v>Lamination 3</v>
      </c>
      <c r="C116" s="112">
        <v>10</v>
      </c>
      <c r="D116" s="160">
        <f t="shared" si="10"/>
        <v>100</v>
      </c>
      <c r="E116" s="147">
        <f t="shared" si="11"/>
        <v>1000</v>
      </c>
      <c r="F116" s="163">
        <f t="shared" si="12"/>
        <v>0.10362694300518134</v>
      </c>
    </row>
    <row r="117" spans="2:6" x14ac:dyDescent="0.25">
      <c r="B117" s="146" t="str">
        <f t="shared" si="9"/>
        <v>Slitting</v>
      </c>
      <c r="C117" s="112">
        <v>9</v>
      </c>
      <c r="D117" s="160">
        <f t="shared" si="10"/>
        <v>50</v>
      </c>
      <c r="E117" s="147">
        <f t="shared" si="11"/>
        <v>450</v>
      </c>
      <c r="F117" s="163">
        <f t="shared" si="12"/>
        <v>4.6632124352331605E-2</v>
      </c>
    </row>
    <row r="118" spans="2:6" x14ac:dyDescent="0.25">
      <c r="B118" s="146" t="str">
        <f t="shared" si="9"/>
        <v/>
      </c>
      <c r="C118" s="112">
        <v>0</v>
      </c>
      <c r="D118" s="160" t="str">
        <f t="shared" si="10"/>
        <v/>
      </c>
      <c r="E118" s="147" t="str">
        <f t="shared" si="11"/>
        <v/>
      </c>
      <c r="F118" s="163" t="str">
        <f t="shared" si="12"/>
        <v/>
      </c>
    </row>
    <row r="119" spans="2:6" x14ac:dyDescent="0.25">
      <c r="B119" s="146" t="str">
        <f t="shared" si="9"/>
        <v/>
      </c>
      <c r="C119" s="112">
        <v>0</v>
      </c>
      <c r="D119" s="160" t="str">
        <f t="shared" si="10"/>
        <v/>
      </c>
      <c r="E119" s="147" t="str">
        <f t="shared" si="11"/>
        <v/>
      </c>
      <c r="F119" s="163" t="str">
        <f t="shared" si="12"/>
        <v/>
      </c>
    </row>
    <row r="120" spans="2:6" ht="15.75" thickBot="1" x14ac:dyDescent="0.3">
      <c r="B120" s="148" t="str">
        <f t="shared" si="9"/>
        <v/>
      </c>
      <c r="C120" s="121">
        <v>0</v>
      </c>
      <c r="D120" s="161" t="str">
        <f t="shared" si="10"/>
        <v/>
      </c>
      <c r="E120" s="149" t="str">
        <f t="shared" si="11"/>
        <v/>
      </c>
      <c r="F120" s="163" t="str">
        <f t="shared" si="12"/>
        <v/>
      </c>
    </row>
    <row r="121" spans="2:6" x14ac:dyDescent="0.25">
      <c r="B121" s="41"/>
      <c r="E121" s="141">
        <f>SUM(E111:E120)</f>
        <v>9650</v>
      </c>
    </row>
    <row r="122" spans="2:6" x14ac:dyDescent="0.25">
      <c r="B122" s="290" t="s">
        <v>145</v>
      </c>
      <c r="C122" s="290"/>
      <c r="D122" s="290"/>
      <c r="E122" s="140">
        <f>E121/C85</f>
        <v>0.919047619047619</v>
      </c>
    </row>
    <row r="123" spans="2:6" x14ac:dyDescent="0.25">
      <c r="B123" s="290" t="s">
        <v>142</v>
      </c>
      <c r="C123" s="290"/>
      <c r="D123" s="290"/>
      <c r="E123" s="159">
        <f>(E122-H70)/H70</f>
        <v>-2.6611699687135438E-2</v>
      </c>
    </row>
  </sheetData>
  <mergeCells count="73">
    <mergeCell ref="Q92:R92"/>
    <mergeCell ref="T95:T96"/>
    <mergeCell ref="U95:U96"/>
    <mergeCell ref="T94:U94"/>
    <mergeCell ref="A5:B5"/>
    <mergeCell ref="C5:E5"/>
    <mergeCell ref="G5:H5"/>
    <mergeCell ref="I5:J5"/>
    <mergeCell ref="K5:L5"/>
    <mergeCell ref="A9:C9"/>
    <mergeCell ref="A10:C10"/>
    <mergeCell ref="M18:N18"/>
    <mergeCell ref="G21:G23"/>
    <mergeCell ref="H21:H23"/>
    <mergeCell ref="A13:B13"/>
    <mergeCell ref="O10:P10"/>
    <mergeCell ref="A1:L1"/>
    <mergeCell ref="A3:B3"/>
    <mergeCell ref="C3:E3"/>
    <mergeCell ref="G3:H3"/>
    <mergeCell ref="I3:L3"/>
    <mergeCell ref="A12:C12"/>
    <mergeCell ref="I12:K12"/>
    <mergeCell ref="M12:N12"/>
    <mergeCell ref="E13:F13"/>
    <mergeCell ref="I13:J13"/>
    <mergeCell ref="A14:B14"/>
    <mergeCell ref="E14:F14"/>
    <mergeCell ref="I14:J14"/>
    <mergeCell ref="M14:N14"/>
    <mergeCell ref="A17:B17"/>
    <mergeCell ref="E17:F17"/>
    <mergeCell ref="M15:N15"/>
    <mergeCell ref="A16:B16"/>
    <mergeCell ref="I16:J16"/>
    <mergeCell ref="M16:N16"/>
    <mergeCell ref="A15:B15"/>
    <mergeCell ref="E15:F15"/>
    <mergeCell ref="M17:N17"/>
    <mergeCell ref="C21:C23"/>
    <mergeCell ref="A31:D31"/>
    <mergeCell ref="C35:D35"/>
    <mergeCell ref="E21:E23"/>
    <mergeCell ref="F21:F23"/>
    <mergeCell ref="F35:H35"/>
    <mergeCell ref="C36:D36"/>
    <mergeCell ref="F38:H38"/>
    <mergeCell ref="C37:D37"/>
    <mergeCell ref="F37:H37"/>
    <mergeCell ref="F36:H36"/>
    <mergeCell ref="C38:D38"/>
    <mergeCell ref="B122:D122"/>
    <mergeCell ref="B123:D123"/>
    <mergeCell ref="B83:L83"/>
    <mergeCell ref="H82:J82"/>
    <mergeCell ref="B73:B74"/>
    <mergeCell ref="C73:C74"/>
    <mergeCell ref="E73:E74"/>
    <mergeCell ref="F73:F74"/>
    <mergeCell ref="G73:G74"/>
    <mergeCell ref="H73:H74"/>
    <mergeCell ref="H88:I88"/>
    <mergeCell ref="K88:L88"/>
    <mergeCell ref="H60:H69"/>
    <mergeCell ref="C39:D39"/>
    <mergeCell ref="A44:C44"/>
    <mergeCell ref="A46:C46"/>
    <mergeCell ref="A53:C53"/>
    <mergeCell ref="A52:C52"/>
    <mergeCell ref="A47:C47"/>
    <mergeCell ref="A48:C48"/>
    <mergeCell ref="A49:C49"/>
    <mergeCell ref="A50:C50"/>
  </mergeCells>
  <dataValidations count="3">
    <dataValidation type="list" allowBlank="1" showInputMessage="1" showErrorMessage="1" sqref="B25:B30" xr:uid="{258B5AFF-B470-4ED5-B7DC-EBBE2B8E0F2B}">
      <formula1>INDIRECT($A25)</formula1>
    </dataValidation>
    <dataValidation type="list" allowBlank="1" showInputMessage="1" showErrorMessage="1" sqref="A25:A30" xr:uid="{52C31A03-7B74-48B0-90FF-4B7BCDF2928A}">
      <formula1>Type</formula1>
    </dataValidation>
    <dataValidation type="list" allowBlank="1" showInputMessage="1" showErrorMessage="1" sqref="K5" xr:uid="{FB0AD55C-C92B-4B4E-A4E1-3B8AAF41977D}">
      <formula1>Unit</formula1>
    </dataValidation>
  </dataValidations>
  <pageMargins left="0.11811023622047245" right="0.11811023622047245" top="0.31496062992125984" bottom="0.19685039370078741" header="0.31496062992125984" footer="0.31496062992125984"/>
  <pageSetup paperSize="9" scale="61" orientation="portrait" r:id="rId1"/>
  <rowBreaks count="1" manualBreakCount="1">
    <brk id="79" max="11" man="1"/>
  </rowBreaks>
  <colBreaks count="1" manualBreakCount="1">
    <brk id="13" max="1048575" man="1"/>
  </colBreak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91AFC1-8C70-4495-A487-5EF9678481C5}">
          <x14:formula1>
            <xm:f>Data!$K$2:$K$4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E513-15A0-4FE8-A31E-37EBAF26C5B4}">
  <dimension ref="C5:C14"/>
  <sheetViews>
    <sheetView workbookViewId="0">
      <selection activeCell="F7" sqref="F7"/>
    </sheetView>
  </sheetViews>
  <sheetFormatPr defaultRowHeight="15" x14ac:dyDescent="0.25"/>
  <cols>
    <col min="3" max="3" width="27.28515625" customWidth="1"/>
  </cols>
  <sheetData>
    <row r="5" spans="3:3" ht="17.25" x14ac:dyDescent="0.25">
      <c r="C5" s="284" t="s">
        <v>341</v>
      </c>
    </row>
    <row r="6" spans="3:3" x14ac:dyDescent="0.25">
      <c r="C6" s="272"/>
    </row>
    <row r="7" spans="3:3" x14ac:dyDescent="0.25">
      <c r="C7" s="285" t="s">
        <v>357</v>
      </c>
    </row>
    <row r="8" spans="3:3" ht="21.75" x14ac:dyDescent="0.25">
      <c r="C8" s="285" t="s">
        <v>358</v>
      </c>
    </row>
    <row r="9" spans="3:3" ht="15.75" thickBot="1" x14ac:dyDescent="0.3">
      <c r="C9" s="285" t="s">
        <v>359</v>
      </c>
    </row>
    <row r="10" spans="3:3" x14ac:dyDescent="0.25">
      <c r="C10" s="286" t="s">
        <v>360</v>
      </c>
    </row>
    <row r="11" spans="3:3" ht="22.5" x14ac:dyDescent="0.25">
      <c r="C11" s="285" t="s">
        <v>361</v>
      </c>
    </row>
    <row r="12" spans="3:3" x14ac:dyDescent="0.25">
      <c r="C12" s="285" t="s">
        <v>362</v>
      </c>
    </row>
    <row r="13" spans="3:3" ht="15.75" thickBot="1" x14ac:dyDescent="0.3">
      <c r="C13" s="285" t="s">
        <v>363</v>
      </c>
    </row>
    <row r="14" spans="3:3" ht="20.25" x14ac:dyDescent="0.25">
      <c r="C14" s="286" t="s">
        <v>364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D9E2-9AEA-4645-813E-C86DFAF6C53F}">
  <sheetPr codeName="Sheet2">
    <tabColor rgb="FFFFFF00"/>
  </sheetPr>
  <dimension ref="D1:AD33"/>
  <sheetViews>
    <sheetView workbookViewId="0">
      <selection activeCell="F20" sqref="F20"/>
    </sheetView>
  </sheetViews>
  <sheetFormatPr defaultColWidth="8.85546875" defaultRowHeight="15" x14ac:dyDescent="0.25"/>
  <cols>
    <col min="4" max="4" width="17.7109375" bestFit="1" customWidth="1"/>
    <col min="5" max="5" width="9.42578125" customWidth="1"/>
    <col min="7" max="7" width="13.42578125" bestFit="1" customWidth="1"/>
    <col min="9" max="9" width="25" bestFit="1" customWidth="1"/>
    <col min="11" max="11" width="15.140625" bestFit="1" customWidth="1"/>
    <col min="13" max="13" width="13.140625" customWidth="1"/>
    <col min="16" max="16" width="15.5703125" bestFit="1" customWidth="1"/>
    <col min="17" max="17" width="17.7109375" bestFit="1" customWidth="1"/>
    <col min="18" max="18" width="14.28515625" bestFit="1" customWidth="1"/>
    <col min="19" max="19" width="16.7109375" bestFit="1" customWidth="1"/>
    <col min="20" max="20" width="16.7109375" customWidth="1"/>
    <col min="22" max="22" width="13.42578125" bestFit="1" customWidth="1"/>
    <col min="23" max="23" width="9.5703125" bestFit="1" customWidth="1"/>
    <col min="24" max="24" width="16" bestFit="1" customWidth="1"/>
    <col min="25" max="25" width="10.42578125" bestFit="1" customWidth="1"/>
    <col min="26" max="26" width="14.7109375" bestFit="1" customWidth="1"/>
    <col min="27" max="27" width="11.28515625" customWidth="1"/>
    <col min="28" max="28" width="12.85546875" bestFit="1" customWidth="1"/>
    <col min="29" max="29" width="16.5703125" bestFit="1" customWidth="1"/>
    <col min="30" max="30" width="16.140625" bestFit="1" customWidth="1"/>
  </cols>
  <sheetData>
    <row r="1" spans="4:30" x14ac:dyDescent="0.25">
      <c r="D1" t="s">
        <v>12</v>
      </c>
      <c r="E1" t="s">
        <v>14</v>
      </c>
      <c r="F1" t="s">
        <v>36</v>
      </c>
      <c r="G1" s="102" t="s">
        <v>16</v>
      </c>
      <c r="I1" s="223" t="s">
        <v>164</v>
      </c>
      <c r="K1" s="2" t="s">
        <v>51</v>
      </c>
      <c r="M1" t="s">
        <v>57</v>
      </c>
      <c r="P1" t="s">
        <v>163</v>
      </c>
      <c r="Q1" t="s">
        <v>34</v>
      </c>
      <c r="R1" t="s">
        <v>27</v>
      </c>
      <c r="S1" t="s">
        <v>35</v>
      </c>
      <c r="T1" t="s">
        <v>188</v>
      </c>
      <c r="W1" s="337" t="s">
        <v>174</v>
      </c>
      <c r="X1" s="337"/>
      <c r="Y1" s="337"/>
      <c r="Z1" s="337"/>
      <c r="AA1" s="337"/>
      <c r="AB1" s="337"/>
      <c r="AC1" s="337"/>
      <c r="AD1" s="337"/>
    </row>
    <row r="2" spans="4:30" x14ac:dyDescent="0.25">
      <c r="D2" s="102" t="s">
        <v>124</v>
      </c>
      <c r="E2" s="101">
        <v>2.71</v>
      </c>
      <c r="F2" s="5">
        <v>1</v>
      </c>
      <c r="G2" s="103">
        <v>3.5</v>
      </c>
      <c r="I2" t="s">
        <v>178</v>
      </c>
      <c r="K2" s="8" t="s">
        <v>0</v>
      </c>
      <c r="M2" s="6" t="s">
        <v>2</v>
      </c>
      <c r="P2" t="s">
        <v>34</v>
      </c>
      <c r="Q2" s="102" t="s">
        <v>124</v>
      </c>
      <c r="R2" t="s">
        <v>28</v>
      </c>
      <c r="S2" t="s">
        <v>24</v>
      </c>
      <c r="T2" t="s">
        <v>189</v>
      </c>
      <c r="V2" s="225" t="s">
        <v>143</v>
      </c>
      <c r="W2" s="224" t="s">
        <v>99</v>
      </c>
      <c r="X2" s="224" t="s">
        <v>100</v>
      </c>
      <c r="Y2" s="224" t="s">
        <v>101</v>
      </c>
      <c r="Z2" s="224" t="s">
        <v>165</v>
      </c>
      <c r="AA2" s="224" t="s">
        <v>104</v>
      </c>
      <c r="AB2" s="224" t="s">
        <v>105</v>
      </c>
      <c r="AC2" s="224" t="s">
        <v>171</v>
      </c>
      <c r="AD2" s="224" t="s">
        <v>127</v>
      </c>
    </row>
    <row r="3" spans="4:30" x14ac:dyDescent="0.25">
      <c r="D3" s="102" t="s">
        <v>114</v>
      </c>
      <c r="E3" s="101">
        <v>1.1499999999999999</v>
      </c>
      <c r="F3" s="5">
        <v>1</v>
      </c>
      <c r="G3" s="103">
        <v>3</v>
      </c>
      <c r="I3" t="s">
        <v>179</v>
      </c>
      <c r="K3" t="s">
        <v>1</v>
      </c>
      <c r="M3" s="6" t="s">
        <v>3</v>
      </c>
      <c r="P3" t="s">
        <v>27</v>
      </c>
      <c r="Q3" s="102" t="s">
        <v>114</v>
      </c>
      <c r="R3" t="s">
        <v>29</v>
      </c>
      <c r="S3" t="s">
        <v>25</v>
      </c>
      <c r="T3" t="s">
        <v>191</v>
      </c>
      <c r="V3" s="226" t="s">
        <v>99</v>
      </c>
      <c r="W3" s="172" t="s">
        <v>187</v>
      </c>
      <c r="X3" s="172" t="s">
        <v>166</v>
      </c>
      <c r="Y3" s="172" t="s">
        <v>168</v>
      </c>
      <c r="Z3" s="172" t="s">
        <v>167</v>
      </c>
      <c r="AA3" s="172" t="s">
        <v>169</v>
      </c>
      <c r="AB3" s="172" t="s">
        <v>170</v>
      </c>
      <c r="AC3" s="172" t="s">
        <v>172</v>
      </c>
      <c r="AD3" s="172" t="s">
        <v>173</v>
      </c>
    </row>
    <row r="4" spans="4:30" x14ac:dyDescent="0.25">
      <c r="D4" s="102" t="s">
        <v>115</v>
      </c>
      <c r="E4" s="101">
        <v>0.91</v>
      </c>
      <c r="F4" s="5">
        <v>1</v>
      </c>
      <c r="G4" s="103">
        <v>1.8</v>
      </c>
      <c r="I4" t="s">
        <v>180</v>
      </c>
      <c r="K4" s="7" t="s">
        <v>52</v>
      </c>
      <c r="M4" s="6" t="s">
        <v>4</v>
      </c>
      <c r="P4" t="s">
        <v>35</v>
      </c>
      <c r="Q4" s="102" t="s">
        <v>115</v>
      </c>
      <c r="R4" t="s">
        <v>30</v>
      </c>
      <c r="S4" t="s">
        <v>26</v>
      </c>
      <c r="T4" t="s">
        <v>190</v>
      </c>
      <c r="V4" s="226" t="s">
        <v>100</v>
      </c>
      <c r="W4" s="172"/>
      <c r="X4" s="172"/>
      <c r="Y4" s="172"/>
      <c r="Z4" s="172"/>
      <c r="AA4" s="172"/>
      <c r="AB4" s="172"/>
      <c r="AC4" s="172"/>
      <c r="AD4" s="172"/>
    </row>
    <row r="5" spans="4:30" x14ac:dyDescent="0.25">
      <c r="D5" s="102" t="s">
        <v>116</v>
      </c>
      <c r="E5" s="101">
        <v>0.91</v>
      </c>
      <c r="F5" s="5">
        <v>1</v>
      </c>
      <c r="G5" s="103">
        <v>2</v>
      </c>
      <c r="I5" t="s">
        <v>181</v>
      </c>
      <c r="M5" s="6" t="s">
        <v>5</v>
      </c>
      <c r="P5" t="s">
        <v>188</v>
      </c>
      <c r="Q5" s="102" t="s">
        <v>116</v>
      </c>
      <c r="R5" s="102" t="s">
        <v>112</v>
      </c>
      <c r="V5" s="226" t="s">
        <v>101</v>
      </c>
      <c r="W5" s="172"/>
      <c r="X5" s="172"/>
      <c r="Y5" s="172"/>
      <c r="Z5" s="172"/>
      <c r="AA5" s="172"/>
      <c r="AB5" s="172"/>
      <c r="AC5" s="172"/>
      <c r="AD5" s="172"/>
    </row>
    <row r="6" spans="4:30" x14ac:dyDescent="0.25">
      <c r="D6" s="102" t="s">
        <v>118</v>
      </c>
      <c r="E6" s="101">
        <v>0.91</v>
      </c>
      <c r="F6" s="5">
        <v>1</v>
      </c>
      <c r="G6" s="103">
        <v>1.6</v>
      </c>
      <c r="I6" t="s">
        <v>184</v>
      </c>
      <c r="M6" s="6" t="s">
        <v>150</v>
      </c>
      <c r="Q6" s="102" t="s">
        <v>118</v>
      </c>
      <c r="R6" s="102" t="s">
        <v>113</v>
      </c>
      <c r="V6" s="226" t="s">
        <v>165</v>
      </c>
      <c r="W6" s="172"/>
      <c r="X6" s="172"/>
      <c r="Y6" s="172"/>
      <c r="Z6" s="172"/>
      <c r="AA6" s="172"/>
      <c r="AB6" s="172"/>
      <c r="AC6" s="172"/>
      <c r="AD6" s="172"/>
    </row>
    <row r="7" spans="4:30" x14ac:dyDescent="0.25">
      <c r="D7" s="102" t="s">
        <v>117</v>
      </c>
      <c r="E7" s="101">
        <v>0.91</v>
      </c>
      <c r="F7" s="5">
        <v>1</v>
      </c>
      <c r="G7" s="103">
        <v>1.8</v>
      </c>
      <c r="I7" t="s">
        <v>185</v>
      </c>
      <c r="Q7" s="102" t="s">
        <v>117</v>
      </c>
      <c r="R7" t="s">
        <v>31</v>
      </c>
      <c r="V7" s="226" t="s">
        <v>104</v>
      </c>
      <c r="W7" s="172"/>
      <c r="X7" s="172"/>
      <c r="Y7" s="172"/>
      <c r="Z7" s="172"/>
      <c r="AA7" s="172"/>
      <c r="AB7" s="172"/>
      <c r="AC7" s="172"/>
      <c r="AD7" s="172"/>
    </row>
    <row r="8" spans="4:30" x14ac:dyDescent="0.25">
      <c r="D8" s="102" t="s">
        <v>123</v>
      </c>
      <c r="E8" s="101">
        <v>0.62</v>
      </c>
      <c r="F8" s="5">
        <v>1</v>
      </c>
      <c r="G8" s="103">
        <v>2</v>
      </c>
      <c r="I8" t="s">
        <v>182</v>
      </c>
      <c r="Q8" s="102" t="s">
        <v>123</v>
      </c>
      <c r="R8" t="s">
        <v>32</v>
      </c>
      <c r="V8" s="226" t="s">
        <v>105</v>
      </c>
      <c r="W8" s="172"/>
      <c r="X8" s="172"/>
      <c r="Y8" s="172"/>
      <c r="Z8" s="172"/>
      <c r="AA8" s="172"/>
      <c r="AB8" s="172"/>
      <c r="AC8" s="172"/>
      <c r="AD8" s="172"/>
    </row>
    <row r="9" spans="4:30" x14ac:dyDescent="0.25">
      <c r="D9" t="s">
        <v>20</v>
      </c>
      <c r="E9" s="101">
        <v>0.7</v>
      </c>
      <c r="F9" s="5">
        <v>1</v>
      </c>
      <c r="G9" s="103">
        <v>2</v>
      </c>
      <c r="I9" t="s">
        <v>183</v>
      </c>
      <c r="Q9" t="s">
        <v>20</v>
      </c>
      <c r="R9" t="s">
        <v>33</v>
      </c>
      <c r="V9" s="226" t="s">
        <v>106</v>
      </c>
      <c r="W9" s="172"/>
      <c r="X9" s="172"/>
      <c r="Y9" s="172"/>
      <c r="Z9" s="172"/>
      <c r="AA9" s="172"/>
      <c r="AB9" s="172"/>
      <c r="AC9" s="172"/>
      <c r="AD9" s="172"/>
    </row>
    <row r="10" spans="4:30" x14ac:dyDescent="0.25">
      <c r="D10" s="102" t="s">
        <v>119</v>
      </c>
      <c r="E10" s="101">
        <v>0.92</v>
      </c>
      <c r="F10" s="5">
        <v>1</v>
      </c>
      <c r="G10" s="103">
        <v>1.2</v>
      </c>
      <c r="I10" t="s">
        <v>186</v>
      </c>
      <c r="Q10" s="102" t="s">
        <v>119</v>
      </c>
      <c r="V10" s="226" t="s">
        <v>127</v>
      </c>
      <c r="W10" s="172"/>
      <c r="X10" s="172"/>
      <c r="Y10" s="172"/>
      <c r="Z10" s="172"/>
      <c r="AA10" s="172"/>
      <c r="AB10" s="172"/>
      <c r="AC10" s="172"/>
      <c r="AD10" s="172"/>
    </row>
    <row r="11" spans="4:30" x14ac:dyDescent="0.25">
      <c r="D11" s="102" t="s">
        <v>120</v>
      </c>
      <c r="E11" s="101">
        <v>0.93</v>
      </c>
      <c r="F11" s="5">
        <v>1</v>
      </c>
      <c r="G11" s="103">
        <v>1.25</v>
      </c>
      <c r="Q11" s="102" t="s">
        <v>120</v>
      </c>
      <c r="V11" s="2"/>
    </row>
    <row r="12" spans="4:30" x14ac:dyDescent="0.25">
      <c r="D12" t="s">
        <v>21</v>
      </c>
      <c r="E12" s="101">
        <v>1</v>
      </c>
      <c r="F12" s="5">
        <v>1</v>
      </c>
      <c r="G12" s="103">
        <v>1.8</v>
      </c>
      <c r="Q12" t="s">
        <v>21</v>
      </c>
    </row>
    <row r="13" spans="4:30" x14ac:dyDescent="0.25">
      <c r="D13" s="102" t="s">
        <v>121</v>
      </c>
      <c r="E13" s="101">
        <v>1.4</v>
      </c>
      <c r="F13" s="5">
        <v>1</v>
      </c>
      <c r="G13" s="103">
        <v>1.5</v>
      </c>
      <c r="Q13" s="102" t="s">
        <v>121</v>
      </c>
    </row>
    <row r="14" spans="4:30" x14ac:dyDescent="0.25">
      <c r="D14" s="102" t="s">
        <v>122</v>
      </c>
      <c r="E14" s="101">
        <v>1.4</v>
      </c>
      <c r="F14" s="5">
        <v>1</v>
      </c>
      <c r="G14" s="103">
        <v>2</v>
      </c>
      <c r="Q14" s="102" t="s">
        <v>122</v>
      </c>
    </row>
    <row r="15" spans="4:30" x14ac:dyDescent="0.25">
      <c r="D15" t="s">
        <v>22</v>
      </c>
      <c r="E15" s="101">
        <v>1.32</v>
      </c>
      <c r="F15" s="5">
        <v>1</v>
      </c>
      <c r="G15" s="103">
        <v>3</v>
      </c>
      <c r="Q15" t="s">
        <v>22</v>
      </c>
    </row>
    <row r="16" spans="4:30" x14ac:dyDescent="0.25">
      <c r="D16" t="s">
        <v>23</v>
      </c>
      <c r="E16" s="101">
        <v>1.35</v>
      </c>
      <c r="F16" s="5">
        <v>1</v>
      </c>
      <c r="G16" s="103">
        <v>1.8</v>
      </c>
      <c r="Q16" t="s">
        <v>23</v>
      </c>
    </row>
    <row r="17" spans="4:17" x14ac:dyDescent="0.25">
      <c r="D17" s="102" t="s">
        <v>111</v>
      </c>
      <c r="E17" s="103">
        <v>1.06</v>
      </c>
      <c r="F17" s="104">
        <v>1</v>
      </c>
      <c r="G17" s="103">
        <v>3.5</v>
      </c>
      <c r="L17" s="5"/>
      <c r="Q17" s="102" t="s">
        <v>111</v>
      </c>
    </row>
    <row r="18" spans="4:17" x14ac:dyDescent="0.25">
      <c r="D18" s="102" t="s">
        <v>110</v>
      </c>
      <c r="E18" s="103">
        <v>0.94</v>
      </c>
      <c r="F18" s="104">
        <v>1</v>
      </c>
      <c r="G18" s="103">
        <v>3.5</v>
      </c>
      <c r="L18" s="5"/>
      <c r="Q18" s="102" t="s">
        <v>110</v>
      </c>
    </row>
    <row r="19" spans="4:17" x14ac:dyDescent="0.25">
      <c r="D19" t="s">
        <v>28</v>
      </c>
      <c r="E19" s="101">
        <v>1</v>
      </c>
      <c r="F19" s="5">
        <v>0.35</v>
      </c>
      <c r="G19" s="103">
        <v>4.5999999999999996</v>
      </c>
    </row>
    <row r="20" spans="4:17" x14ac:dyDescent="0.25">
      <c r="D20" t="s">
        <v>29</v>
      </c>
      <c r="E20" s="101">
        <v>1</v>
      </c>
      <c r="F20" s="5">
        <v>0.2</v>
      </c>
      <c r="G20" s="103">
        <v>6</v>
      </c>
    </row>
    <row r="21" spans="4:17" x14ac:dyDescent="0.25">
      <c r="D21" t="s">
        <v>30</v>
      </c>
      <c r="E21" s="101">
        <v>1</v>
      </c>
      <c r="F21" s="5">
        <v>0.17</v>
      </c>
      <c r="G21" s="103">
        <v>2.5</v>
      </c>
    </row>
    <row r="22" spans="4:17" x14ac:dyDescent="0.25">
      <c r="D22" s="102" t="s">
        <v>112</v>
      </c>
      <c r="E22" s="103">
        <v>1</v>
      </c>
      <c r="F22" s="104">
        <v>0.2</v>
      </c>
      <c r="G22" s="103">
        <v>2.5</v>
      </c>
    </row>
    <row r="23" spans="4:17" x14ac:dyDescent="0.25">
      <c r="D23" s="102" t="s">
        <v>113</v>
      </c>
      <c r="E23" s="103">
        <v>1</v>
      </c>
      <c r="F23" s="104">
        <v>0.23</v>
      </c>
      <c r="G23" s="103">
        <v>3</v>
      </c>
    </row>
    <row r="24" spans="4:17" x14ac:dyDescent="0.25">
      <c r="D24" t="s">
        <v>31</v>
      </c>
      <c r="E24" s="101">
        <v>1</v>
      </c>
      <c r="F24" s="5">
        <v>0.3</v>
      </c>
      <c r="G24" s="103">
        <v>8</v>
      </c>
    </row>
    <row r="25" spans="4:17" x14ac:dyDescent="0.25">
      <c r="D25" t="s">
        <v>32</v>
      </c>
      <c r="E25" s="101">
        <v>1</v>
      </c>
      <c r="F25" s="5">
        <v>1</v>
      </c>
      <c r="G25" s="103">
        <v>5</v>
      </c>
    </row>
    <row r="26" spans="4:17" x14ac:dyDescent="0.25">
      <c r="D26" t="s">
        <v>33</v>
      </c>
      <c r="E26" s="101">
        <v>1</v>
      </c>
      <c r="F26" s="5">
        <v>0.5</v>
      </c>
      <c r="G26" s="103">
        <v>6</v>
      </c>
    </row>
    <row r="27" spans="4:17" x14ac:dyDescent="0.25">
      <c r="D27" t="s">
        <v>24</v>
      </c>
      <c r="E27" s="101">
        <v>1</v>
      </c>
      <c r="F27" s="5">
        <v>0.5</v>
      </c>
      <c r="G27" s="103">
        <v>3.35</v>
      </c>
    </row>
    <row r="28" spans="4:17" x14ac:dyDescent="0.25">
      <c r="D28" t="s">
        <v>25</v>
      </c>
      <c r="E28" s="101">
        <v>1</v>
      </c>
      <c r="F28" s="5">
        <v>1</v>
      </c>
      <c r="G28" s="103">
        <v>4</v>
      </c>
    </row>
    <row r="29" spans="4:17" x14ac:dyDescent="0.25">
      <c r="D29" t="s">
        <v>26</v>
      </c>
      <c r="E29" s="101">
        <v>1</v>
      </c>
      <c r="F29" s="5">
        <v>1</v>
      </c>
      <c r="G29" s="103">
        <v>5</v>
      </c>
    </row>
    <row r="30" spans="4:17" x14ac:dyDescent="0.25">
      <c r="D30" t="s">
        <v>58</v>
      </c>
      <c r="E30" s="101">
        <v>0</v>
      </c>
      <c r="F30" s="5">
        <v>0</v>
      </c>
      <c r="G30" s="103">
        <v>1.5</v>
      </c>
    </row>
    <row r="31" spans="4:17" x14ac:dyDescent="0.25">
      <c r="D31" t="s">
        <v>189</v>
      </c>
      <c r="E31" s="101"/>
      <c r="F31" s="5"/>
      <c r="G31" s="103"/>
    </row>
    <row r="32" spans="4:17" x14ac:dyDescent="0.25">
      <c r="D32" t="s">
        <v>191</v>
      </c>
      <c r="E32" s="101"/>
      <c r="F32" s="5"/>
      <c r="G32" s="103"/>
    </row>
    <row r="33" spans="4:7" x14ac:dyDescent="0.25">
      <c r="D33" t="s">
        <v>190</v>
      </c>
      <c r="E33" s="101"/>
      <c r="F33" s="5"/>
      <c r="G33" s="103"/>
    </row>
  </sheetData>
  <mergeCells count="1">
    <mergeCell ref="W1:AD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BBB9-D6D7-4548-8051-07540CE54455}">
  <sheetPr>
    <tabColor theme="9" tint="0.39997558519241921"/>
  </sheetPr>
  <dimension ref="A1:U130"/>
  <sheetViews>
    <sheetView topLeftCell="A16" zoomScaleNormal="100" workbookViewId="0">
      <selection activeCell="J11" sqref="J11"/>
    </sheetView>
  </sheetViews>
  <sheetFormatPr defaultColWidth="8.85546875" defaultRowHeight="15" x14ac:dyDescent="0.25"/>
  <cols>
    <col min="1" max="1" width="15.7109375" customWidth="1"/>
    <col min="2" max="2" width="17" customWidth="1"/>
    <col min="3" max="3" width="16.7109375" customWidth="1"/>
    <col min="4" max="4" width="13" customWidth="1"/>
    <col min="6" max="6" width="11.140625" customWidth="1"/>
    <col min="7" max="7" width="13.85546875" customWidth="1"/>
    <col min="8" max="8" width="15.7109375" customWidth="1"/>
    <col min="9" max="9" width="10.140625" customWidth="1"/>
    <col min="10" max="10" width="13.85546875" customWidth="1"/>
    <col min="11" max="11" width="11.28515625" bestFit="1" customWidth="1"/>
    <col min="12" max="12" width="9.42578125" customWidth="1"/>
    <col min="13" max="13" width="20.85546875" bestFit="1" customWidth="1"/>
    <col min="14" max="14" width="10" bestFit="1" customWidth="1"/>
    <col min="15" max="15" width="13.7109375" bestFit="1" customWidth="1"/>
    <col min="16" max="16" width="14.28515625" bestFit="1" customWidth="1"/>
    <col min="17" max="17" width="20.42578125" bestFit="1" customWidth="1"/>
    <col min="18" max="18" width="13" bestFit="1" customWidth="1"/>
    <col min="19" max="19" width="12.140625" customWidth="1"/>
    <col min="20" max="23" width="12.42578125" bestFit="1" customWidth="1"/>
  </cols>
  <sheetData>
    <row r="1" spans="1:19" ht="21" x14ac:dyDescent="0.35">
      <c r="A1" s="332" t="s">
        <v>153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"/>
      <c r="N1" s="12"/>
      <c r="O1" s="12"/>
      <c r="P1" s="12"/>
      <c r="Q1" s="9"/>
      <c r="R1" s="9"/>
      <c r="S1" s="9"/>
    </row>
    <row r="2" spans="1:19" ht="15.75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5.75" customHeight="1" x14ac:dyDescent="0.25">
      <c r="A3" s="333" t="s">
        <v>50</v>
      </c>
      <c r="B3" s="333"/>
      <c r="C3" s="334" t="s">
        <v>131</v>
      </c>
      <c r="D3" s="334"/>
      <c r="E3" s="334"/>
      <c r="F3" s="9"/>
      <c r="G3" s="333" t="s">
        <v>56</v>
      </c>
      <c r="H3" s="333"/>
      <c r="I3" s="334" t="s">
        <v>132</v>
      </c>
      <c r="J3" s="334"/>
      <c r="K3" s="334"/>
      <c r="L3" s="334"/>
      <c r="M3" s="9"/>
      <c r="N3" s="9"/>
      <c r="O3" s="9"/>
      <c r="P3" s="9"/>
    </row>
    <row r="4" spans="1:19" ht="15.7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9" ht="15.75" customHeight="1" x14ac:dyDescent="0.25">
      <c r="A5" s="333" t="s">
        <v>51</v>
      </c>
      <c r="B5" s="333"/>
      <c r="C5" s="335" t="s">
        <v>1</v>
      </c>
      <c r="D5" s="335"/>
      <c r="E5" s="335"/>
      <c r="F5" s="9"/>
      <c r="G5" s="333" t="s">
        <v>53</v>
      </c>
      <c r="H5" s="333"/>
      <c r="I5" s="336">
        <v>20000</v>
      </c>
      <c r="J5" s="336"/>
      <c r="K5" s="335" t="s">
        <v>2</v>
      </c>
      <c r="L5" s="335"/>
      <c r="M5" s="9"/>
      <c r="N5" s="9"/>
      <c r="O5" s="9"/>
    </row>
    <row r="6" spans="1:19" ht="15.75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6"/>
      <c r="N6" s="9"/>
      <c r="O6" s="9"/>
      <c r="P6" s="9"/>
      <c r="Q6" s="9"/>
      <c r="R6" s="9"/>
    </row>
    <row r="7" spans="1:19" x14ac:dyDescent="0.25">
      <c r="M7" s="6"/>
    </row>
    <row r="8" spans="1:19" x14ac:dyDescent="0.25">
      <c r="B8" s="1"/>
      <c r="M8" s="6"/>
      <c r="P8" s="19"/>
    </row>
    <row r="9" spans="1:19" ht="15.75" x14ac:dyDescent="0.25">
      <c r="A9" s="326" t="s">
        <v>54</v>
      </c>
      <c r="B9" s="326"/>
      <c r="C9" s="326"/>
      <c r="O9" s="20"/>
      <c r="P9" s="20"/>
      <c r="Q9" s="20"/>
    </row>
    <row r="10" spans="1:19" ht="15.75" x14ac:dyDescent="0.25">
      <c r="A10" s="326" t="s">
        <v>55</v>
      </c>
      <c r="B10" s="326"/>
      <c r="C10" s="326"/>
      <c r="N10" s="327"/>
      <c r="O10" s="327"/>
      <c r="P10" s="327"/>
      <c r="Q10" s="327"/>
      <c r="R10" s="44"/>
    </row>
    <row r="11" spans="1:19" ht="15.75" thickBot="1" x14ac:dyDescent="0.3"/>
    <row r="12" spans="1:19" ht="15.75" thickBot="1" x14ac:dyDescent="0.3">
      <c r="A12" s="331"/>
      <c r="B12" s="331"/>
      <c r="C12" s="331"/>
      <c r="E12" s="341" t="s">
        <v>68</v>
      </c>
      <c r="F12" s="342"/>
      <c r="G12" s="343"/>
      <c r="I12" s="331"/>
      <c r="J12" s="331"/>
      <c r="K12" s="331"/>
      <c r="M12" s="331"/>
      <c r="N12" s="331"/>
      <c r="O12" s="331"/>
    </row>
    <row r="13" spans="1:19" x14ac:dyDescent="0.25">
      <c r="A13" s="319"/>
      <c r="B13" s="319"/>
      <c r="C13" s="21"/>
      <c r="E13" s="344" t="s">
        <v>69</v>
      </c>
      <c r="F13" s="345"/>
      <c r="G13" s="29">
        <v>102</v>
      </c>
      <c r="I13" s="319"/>
      <c r="J13" s="319"/>
      <c r="K13" s="21"/>
      <c r="M13" s="319"/>
      <c r="N13" s="319"/>
      <c r="O13" s="129"/>
    </row>
    <row r="14" spans="1:19" x14ac:dyDescent="0.25">
      <c r="A14" s="319"/>
      <c r="B14" s="319"/>
      <c r="C14" s="21"/>
      <c r="E14" s="322" t="s">
        <v>8</v>
      </c>
      <c r="F14" s="323"/>
      <c r="G14" s="30">
        <v>33</v>
      </c>
      <c r="I14" s="319"/>
      <c r="J14" s="319"/>
      <c r="K14" s="21"/>
      <c r="M14" s="319"/>
      <c r="N14" s="319"/>
      <c r="O14" s="130"/>
      <c r="P14" s="21"/>
      <c r="R14" s="21"/>
    </row>
    <row r="15" spans="1:19" x14ac:dyDescent="0.25">
      <c r="A15" s="319"/>
      <c r="B15" s="319"/>
      <c r="C15" s="131"/>
      <c r="E15" s="339" t="s">
        <v>9</v>
      </c>
      <c r="F15" s="340"/>
      <c r="G15" s="30">
        <v>161</v>
      </c>
      <c r="I15" s="4"/>
      <c r="J15" s="4"/>
      <c r="K15" s="131"/>
      <c r="M15" s="319"/>
      <c r="N15" s="319"/>
      <c r="O15" s="130"/>
      <c r="P15" s="21"/>
      <c r="R15" s="21"/>
    </row>
    <row r="16" spans="1:19" x14ac:dyDescent="0.25">
      <c r="A16" s="319"/>
      <c r="B16" s="319"/>
      <c r="C16" s="6"/>
      <c r="E16" s="23" t="s">
        <v>6</v>
      </c>
      <c r="F16" s="22"/>
      <c r="G16" s="31">
        <v>20</v>
      </c>
      <c r="I16" s="319"/>
      <c r="J16" s="319"/>
      <c r="K16" s="6"/>
      <c r="M16" s="319"/>
      <c r="N16" s="319"/>
      <c r="O16" s="129"/>
    </row>
    <row r="17" spans="1:15" ht="15.75" thickBot="1" x14ac:dyDescent="0.3">
      <c r="A17" s="319"/>
      <c r="B17" s="319"/>
      <c r="C17" s="6"/>
      <c r="E17" s="317" t="s">
        <v>7</v>
      </c>
      <c r="F17" s="318"/>
      <c r="G17" s="32">
        <v>30</v>
      </c>
      <c r="M17" s="319"/>
      <c r="N17" s="319"/>
      <c r="O17" s="130"/>
    </row>
    <row r="18" spans="1:15" x14ac:dyDescent="0.25">
      <c r="M18" s="319"/>
      <c r="N18" s="319"/>
      <c r="O18" s="101"/>
    </row>
    <row r="19" spans="1:15" x14ac:dyDescent="0.25">
      <c r="M19" s="338"/>
      <c r="N19" s="338"/>
      <c r="O19" s="132"/>
    </row>
    <row r="20" spans="1:15" x14ac:dyDescent="0.25">
      <c r="M20" s="338"/>
      <c r="N20" s="338"/>
      <c r="O20" s="133"/>
    </row>
    <row r="21" spans="1:15" x14ac:dyDescent="0.25">
      <c r="C21" s="320" t="s">
        <v>81</v>
      </c>
      <c r="D21" s="53"/>
      <c r="E21" s="320" t="s">
        <v>81</v>
      </c>
      <c r="F21" s="320"/>
      <c r="G21" s="320" t="s">
        <v>81</v>
      </c>
      <c r="H21" s="320" t="s">
        <v>81</v>
      </c>
    </row>
    <row r="22" spans="1:15" x14ac:dyDescent="0.25">
      <c r="C22" s="320"/>
      <c r="D22" s="53"/>
      <c r="E22" s="320"/>
      <c r="F22" s="320"/>
      <c r="G22" s="320"/>
      <c r="H22" s="320"/>
    </row>
    <row r="23" spans="1:15" ht="15.75" thickBot="1" x14ac:dyDescent="0.3">
      <c r="C23" s="321"/>
      <c r="D23" s="53"/>
      <c r="E23" s="321"/>
      <c r="F23" s="321"/>
      <c r="G23" s="321"/>
      <c r="H23" s="321"/>
    </row>
    <row r="24" spans="1:15" ht="45.75" thickBot="1" x14ac:dyDescent="0.3">
      <c r="A24" s="55" t="s">
        <v>11</v>
      </c>
      <c r="B24" s="56" t="s">
        <v>12</v>
      </c>
      <c r="C24" s="56" t="s">
        <v>13</v>
      </c>
      <c r="D24" s="56" t="s">
        <v>37</v>
      </c>
      <c r="E24" s="56" t="s">
        <v>14</v>
      </c>
      <c r="F24" s="56" t="s">
        <v>15</v>
      </c>
      <c r="G24" s="56" t="s">
        <v>16</v>
      </c>
      <c r="H24" s="56" t="s">
        <v>17</v>
      </c>
      <c r="I24" s="56" t="s">
        <v>18</v>
      </c>
      <c r="J24" s="56" t="s">
        <v>19</v>
      </c>
      <c r="K24" s="57" t="s">
        <v>39</v>
      </c>
    </row>
    <row r="25" spans="1:15" ht="15.75" thickBot="1" x14ac:dyDescent="0.3">
      <c r="A25" s="66" t="s">
        <v>34</v>
      </c>
      <c r="B25" s="67" t="s">
        <v>115</v>
      </c>
      <c r="C25" s="68">
        <f>VLOOKUP(B25,Material[],3,FALSE)</f>
        <v>1</v>
      </c>
      <c r="D25" s="69">
        <v>35</v>
      </c>
      <c r="E25" s="70">
        <f>VLOOKUP(B25,Material[],2,FALSE)</f>
        <v>0.91</v>
      </c>
      <c r="F25" s="70">
        <f>IF(A25="Substrate",D25*E25,C25*D25)</f>
        <v>31.85</v>
      </c>
      <c r="G25" s="71">
        <f>VLOOKUP(B25,Material[],4,FALSE)</f>
        <v>1.8</v>
      </c>
      <c r="H25" s="72">
        <v>0.1</v>
      </c>
      <c r="I25" s="73">
        <f>(IF(A25="Substrate",(F25*G25)/1000,(D25*G25)/1000))*(1+table1[[#This Row],[Waste
%]])</f>
        <v>6.3063000000000008E-2</v>
      </c>
      <c r="J25" s="74">
        <f>IF(A25="Substrate",(($I$36*F25)/$B$37)*(1+H25),(($I$36*D25)/$B$37)*(1+H25))</f>
        <v>20222.222222222226</v>
      </c>
      <c r="K25" s="75">
        <f>table1[[#This Row],[Total GSM]]/$B$37</f>
        <v>0.91919191919191923</v>
      </c>
    </row>
    <row r="26" spans="1:15" x14ac:dyDescent="0.25">
      <c r="A26" s="59" t="s">
        <v>27</v>
      </c>
      <c r="B26" s="46" t="s">
        <v>28</v>
      </c>
      <c r="C26" s="48">
        <f>VLOOKUP(B26,Material[],3,FALSE)</f>
        <v>0.35</v>
      </c>
      <c r="D26" s="49">
        <v>8</v>
      </c>
      <c r="E26" s="50">
        <f>VLOOKUP(B26,Material[],2,FALSE)</f>
        <v>1</v>
      </c>
      <c r="F26" s="50">
        <f t="shared" ref="F26" si="0">IF(A26="Substrate",D26*E26,C26*D26)</f>
        <v>2.8</v>
      </c>
      <c r="G26" s="71">
        <f>VLOOKUP(B26,Material[],4,FALSE)</f>
        <v>4.5999999999999996</v>
      </c>
      <c r="H26" s="51">
        <v>0.1</v>
      </c>
      <c r="I26" s="47">
        <f>(IF(A26="Substrate",(F26*G26)/1000,(D26*G26)/1000))*(1+table1[[#This Row],[Waste
%]])</f>
        <v>4.0480000000000002E-2</v>
      </c>
      <c r="J26" s="52">
        <f t="shared" ref="J26" si="1">IF(A26="Substrate",(($I$36*F26)/$B$37)*(1+H26),(($I$36*D26)/$B$37)*(1+H26))</f>
        <v>5079.3650793650795</v>
      </c>
      <c r="K26" s="58">
        <f>table1[[#This Row],[Total GSM]]/$B$37</f>
        <v>8.0808080808080801E-2</v>
      </c>
      <c r="M26" s="14"/>
    </row>
    <row r="27" spans="1:15" x14ac:dyDescent="0.25">
      <c r="A27" s="59"/>
      <c r="B27" s="46"/>
      <c r="C27" s="48"/>
      <c r="D27" s="49"/>
      <c r="E27" s="50"/>
      <c r="F27" s="50"/>
      <c r="G27" s="45"/>
      <c r="H27" s="51"/>
      <c r="I27" s="47"/>
      <c r="J27" s="52"/>
      <c r="K27" s="58"/>
    </row>
    <row r="28" spans="1:15" x14ac:dyDescent="0.25">
      <c r="A28" s="59"/>
      <c r="B28" s="46"/>
      <c r="C28" s="48"/>
      <c r="D28" s="49"/>
      <c r="E28" s="50"/>
      <c r="F28" s="50"/>
      <c r="G28" s="45"/>
      <c r="H28" s="51"/>
      <c r="I28" s="47"/>
      <c r="J28" s="52"/>
      <c r="K28" s="58"/>
    </row>
    <row r="29" spans="1:15" x14ac:dyDescent="0.25">
      <c r="A29" s="59"/>
      <c r="B29" s="46"/>
      <c r="C29" s="48"/>
      <c r="D29" s="49"/>
      <c r="E29" s="50"/>
      <c r="F29" s="50"/>
      <c r="G29" s="45"/>
      <c r="H29" s="51"/>
      <c r="I29" s="47"/>
      <c r="J29" s="52"/>
      <c r="K29" s="58"/>
    </row>
    <row r="30" spans="1:15" x14ac:dyDescent="0.25">
      <c r="A30" s="59"/>
      <c r="B30" s="46"/>
      <c r="C30" s="48"/>
      <c r="D30" s="49"/>
      <c r="E30" s="50"/>
      <c r="F30" s="50"/>
      <c r="G30" s="45"/>
      <c r="H30" s="51"/>
      <c r="I30" s="47"/>
      <c r="J30" s="52"/>
      <c r="K30" s="58"/>
    </row>
    <row r="31" spans="1:15" ht="15.75" thickBot="1" x14ac:dyDescent="0.3">
      <c r="A31" s="310" t="s">
        <v>38</v>
      </c>
      <c r="B31" s="311"/>
      <c r="C31" s="311"/>
      <c r="D31" s="311"/>
      <c r="E31" s="60">
        <v>4.1666666666666664E-2</v>
      </c>
      <c r="F31" s="65">
        <v>1.5</v>
      </c>
      <c r="G31" s="61">
        <f>VLOOKUP("Solvent Mix",Material[],4,FALSE)</f>
        <v>1.5</v>
      </c>
      <c r="H31" s="62"/>
      <c r="I31" s="63">
        <f>((SUMIFS(table1[Total GSM],table1[Type],"ink")+SUMIFS(table1[Total GSM],table1[Material],"Solvent Base"))/$F$31)*G31/1000</f>
        <v>2.8E-3</v>
      </c>
      <c r="J31" s="125">
        <f>(SUMIFS(table1[Est.
Required Kgs],table1[Type], "Ink") + SUMIFS(table1[Est.
Required Kgs],table1[Material], "Solvent Base"))*$F$31</f>
        <v>7619.0476190476193</v>
      </c>
      <c r="K31" s="64"/>
    </row>
    <row r="32" spans="1:15" ht="15" customHeight="1" x14ac:dyDescent="0.25">
      <c r="A32" s="17"/>
      <c r="B32" s="17"/>
      <c r="C32" s="17"/>
      <c r="D32" s="17"/>
      <c r="E32" s="18"/>
      <c r="F32" s="18"/>
      <c r="G32" s="18"/>
      <c r="H32" s="18"/>
      <c r="I32" s="18"/>
      <c r="J32" s="18"/>
      <c r="K32" s="18"/>
      <c r="N32" s="38"/>
    </row>
    <row r="33" spans="1:13" x14ac:dyDescent="0.25">
      <c r="A33" s="17"/>
      <c r="B33" s="17"/>
      <c r="C33" s="17"/>
      <c r="D33" s="17"/>
      <c r="E33" s="18"/>
      <c r="F33" s="18"/>
      <c r="G33" s="18"/>
      <c r="H33" s="18"/>
      <c r="I33" s="18"/>
      <c r="J33" s="18"/>
      <c r="K33" s="18"/>
    </row>
    <row r="34" spans="1:13" x14ac:dyDescent="0.25">
      <c r="B34" s="2"/>
      <c r="C34" s="11"/>
    </row>
    <row r="35" spans="1:13" x14ac:dyDescent="0.25">
      <c r="A35" s="2" t="s">
        <v>40</v>
      </c>
      <c r="B35" s="36">
        <f>B37/B36</f>
        <v>0.91666666666666674</v>
      </c>
      <c r="C35" s="312" t="s">
        <v>66</v>
      </c>
      <c r="D35" s="312"/>
      <c r="E35" s="35">
        <f>IF(C5="Roll", (1000/(C13*C14*B37*0.001*0.001))*C16, IF(C5="Sleeve", (1000/(G14*G15*B37*0.001*0.001))*1, IF(C5="Bag or Pouch", (1000/(K14*K13*B37*0.001*0.001))*1, "")))</f>
        <v>5431.9647769676003</v>
      </c>
      <c r="F35" s="312" t="s">
        <v>65</v>
      </c>
      <c r="G35" s="312"/>
      <c r="H35" s="312"/>
      <c r="I35">
        <f>IF(C5="Roll", ((C13*C17)+C15), IF(C5="Sleeve", ((G14*G17)+G16), IF(C5="Bag or Pouch", ((K14*K16)+K15), "")))</f>
        <v>1010</v>
      </c>
    </row>
    <row r="36" spans="1:13" x14ac:dyDescent="0.25">
      <c r="A36" s="2" t="s">
        <v>82</v>
      </c>
      <c r="B36" s="37">
        <f>SUMIFS(table1[Micron],table1[Type],"substrate")+SUMIFS(table1[Total GSM],table1[Type],"Ink")+SUMIFS(table1[Total GSM],table1[Type],"Adhesive")</f>
        <v>37.799999999999997</v>
      </c>
      <c r="C36" s="312" t="s">
        <v>59</v>
      </c>
      <c r="D36" s="312"/>
      <c r="E36" s="15">
        <f>1000/E35</f>
        <v>0.18409544999999999</v>
      </c>
      <c r="F36" s="312" t="s">
        <v>88</v>
      </c>
      <c r="G36" s="312"/>
      <c r="H36" s="312"/>
      <c r="I36" s="38">
        <f>IF(UnitsDD="Kgs", I5,
 IF(UnitsDD="Kpcs", I5*E36,
 IF(UnitsDD="SQM", I5/E37,
 IF(UnitsDD="LM", I5/E39,
 IF(UnitsDD="Roll 500 LM", (I5/E39)*500, "")))))</f>
        <v>20000</v>
      </c>
      <c r="K36" s="13"/>
    </row>
    <row r="37" spans="1:13" x14ac:dyDescent="0.25">
      <c r="A37" s="2" t="s">
        <v>15</v>
      </c>
      <c r="B37" s="37">
        <f>SUM(F25:F30)</f>
        <v>34.65</v>
      </c>
      <c r="C37" s="312" t="s">
        <v>60</v>
      </c>
      <c r="D37" s="312"/>
      <c r="E37" s="15">
        <f>1000/B37</f>
        <v>28.860028860028862</v>
      </c>
      <c r="F37" s="312" t="s">
        <v>89</v>
      </c>
      <c r="G37" s="312"/>
      <c r="H37" s="312"/>
      <c r="I37" s="38">
        <f>(I36*1000)/E36/1000</f>
        <v>108639.29553935201</v>
      </c>
    </row>
    <row r="38" spans="1:13" x14ac:dyDescent="0.25">
      <c r="A38" s="2" t="s">
        <v>83</v>
      </c>
      <c r="B38" s="16">
        <f>SUM(I25:I30)+I31</f>
        <v>0.10634300000000001</v>
      </c>
      <c r="C38" s="312" t="s">
        <v>86</v>
      </c>
      <c r="D38" s="312"/>
      <c r="E38" s="15">
        <f>(E37/I35)*1000</f>
        <v>28.574286000028575</v>
      </c>
      <c r="F38" s="312" t="s">
        <v>87</v>
      </c>
      <c r="G38" s="312"/>
      <c r="H38" s="312"/>
      <c r="I38" s="38">
        <f>I36*E38</f>
        <v>571485.72000057145</v>
      </c>
    </row>
    <row r="39" spans="1:13" x14ac:dyDescent="0.25">
      <c r="C39" s="312" t="s">
        <v>151</v>
      </c>
      <c r="D39" s="312"/>
      <c r="E39" s="15">
        <f>IF(C5="Roll", ((E37/C13)*1000), IF(C5="Sleeve", ((E37/G14)*1000), IF(C5="Bag or Pouch", ((E37/K13)*1000), "")))</f>
        <v>874.5463290917836</v>
      </c>
    </row>
    <row r="40" spans="1:13" x14ac:dyDescent="0.25">
      <c r="C40" s="312"/>
      <c r="D40" s="312"/>
    </row>
    <row r="41" spans="1:13" x14ac:dyDescent="0.25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</row>
    <row r="42" spans="1:13" ht="15.75" x14ac:dyDescent="0.25">
      <c r="A42" s="94" t="s">
        <v>84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</row>
    <row r="43" spans="1:13" ht="16.5" thickBot="1" x14ac:dyDescent="0.3">
      <c r="A43" s="94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</row>
    <row r="44" spans="1:13" ht="15.75" thickBot="1" x14ac:dyDescent="0.3">
      <c r="A44" s="314" t="s">
        <v>92</v>
      </c>
      <c r="B44" s="315"/>
      <c r="C44" s="316"/>
      <c r="D44" s="79">
        <v>176</v>
      </c>
      <c r="E44" s="82"/>
      <c r="F44" s="82"/>
      <c r="G44" s="82"/>
      <c r="H44" s="82"/>
      <c r="I44" s="82"/>
      <c r="J44" s="82"/>
      <c r="K44" s="82"/>
      <c r="L44" s="82"/>
      <c r="M44" s="82"/>
    </row>
    <row r="45" spans="1:13" x14ac:dyDescent="0.25">
      <c r="A45" s="76"/>
      <c r="B45" s="76"/>
      <c r="C45" s="76"/>
      <c r="D45" s="82"/>
      <c r="E45" s="82"/>
      <c r="F45" s="82"/>
      <c r="G45" s="82"/>
      <c r="H45" s="82"/>
      <c r="I45" s="82"/>
      <c r="J45" s="82"/>
      <c r="K45" s="82"/>
      <c r="L45" s="82"/>
      <c r="M45" s="82"/>
    </row>
    <row r="46" spans="1:13" x14ac:dyDescent="0.25">
      <c r="A46" s="299" t="s">
        <v>62</v>
      </c>
      <c r="B46" s="299"/>
      <c r="C46" s="299"/>
      <c r="D46" s="77">
        <v>600</v>
      </c>
      <c r="E46" s="82"/>
      <c r="F46" s="82"/>
      <c r="G46" s="82"/>
      <c r="H46" s="82"/>
      <c r="I46" s="82"/>
      <c r="J46" s="82"/>
      <c r="K46" s="82"/>
      <c r="L46" s="82"/>
      <c r="M46" s="82"/>
    </row>
    <row r="47" spans="1:13" x14ac:dyDescent="0.25">
      <c r="A47" s="299" t="s">
        <v>63</v>
      </c>
      <c r="B47" s="299"/>
      <c r="C47" s="299"/>
      <c r="D47" s="95">
        <f>IF(C5="Roll",(((D46/2)^2-(D44/2)^2)*PI()*C13*B35/1000000),IF(C5="Sleeve",(((D46/2)^2-(D44/2)^2)*PI()*G14*B35/1000000),IF(C5="Bag or Pouch",(((D46/2)^2-(D44/2)^2)*PI()*K13*B35/1000000))))</f>
        <v>7.8170490707388822</v>
      </c>
      <c r="E47" s="82"/>
      <c r="F47" s="82"/>
      <c r="G47" s="82"/>
      <c r="H47" s="82"/>
      <c r="I47" s="82"/>
      <c r="J47" s="82"/>
      <c r="K47" s="82"/>
      <c r="L47" s="82"/>
      <c r="M47" s="82"/>
    </row>
    <row r="48" spans="1:13" x14ac:dyDescent="0.25">
      <c r="A48" s="299" t="s">
        <v>48</v>
      </c>
      <c r="B48" s="299"/>
      <c r="C48" s="299"/>
      <c r="D48" s="96">
        <f>IF(C5="Roll",((D47*1000/B35)/((B36/10000)*(C13/10))/100),IF(C5="Sleeve",((D47*1000/B35)/((B36/10000)*(G14/10))/100),IF(C5="Bag or Pouch",((D47*1000/B35)/((B36/10000)*(K13/10))/100))))</f>
        <v>6836.3715691450298</v>
      </c>
      <c r="E48" s="82"/>
      <c r="F48" s="82"/>
      <c r="G48" s="82"/>
      <c r="H48" s="82"/>
      <c r="I48" s="82"/>
      <c r="J48" s="82"/>
      <c r="K48" s="82"/>
      <c r="L48" s="82"/>
      <c r="M48" s="82"/>
    </row>
    <row r="49" spans="1:14" x14ac:dyDescent="0.25">
      <c r="A49" s="299" t="s">
        <v>85</v>
      </c>
      <c r="B49" s="299"/>
      <c r="C49" s="299"/>
      <c r="D49" s="97">
        <f>IF(C5="Roll",C13,IF(C5="Sleeve", G14,IF(C5="Bag or Pouch", K13)))</f>
        <v>33</v>
      </c>
      <c r="E49" s="82"/>
      <c r="F49" s="82"/>
      <c r="G49" s="82"/>
      <c r="H49" s="82"/>
      <c r="I49" s="82"/>
      <c r="J49" s="82"/>
      <c r="K49" s="82"/>
      <c r="L49" s="82"/>
      <c r="M49" s="82"/>
    </row>
    <row r="50" spans="1:14" x14ac:dyDescent="0.25">
      <c r="A50" s="299" t="s">
        <v>64</v>
      </c>
      <c r="B50" s="299"/>
      <c r="C50" s="299"/>
      <c r="D50" s="98">
        <f>(D47*E35)</f>
        <v>42461.93521208092</v>
      </c>
      <c r="E50" s="82"/>
      <c r="F50" s="82"/>
      <c r="G50" s="82"/>
      <c r="H50" s="82"/>
      <c r="I50" s="82"/>
      <c r="J50" s="82"/>
      <c r="K50" s="82"/>
      <c r="L50" s="82"/>
      <c r="M50" s="82"/>
    </row>
    <row r="51" spans="1:14" x14ac:dyDescent="0.25">
      <c r="A51" s="76"/>
      <c r="B51" s="76"/>
      <c r="C51" s="76"/>
      <c r="D51" s="99"/>
      <c r="E51" s="82"/>
      <c r="F51" s="82"/>
      <c r="G51" s="82"/>
      <c r="H51" s="82"/>
      <c r="I51" s="82"/>
      <c r="J51" s="82"/>
      <c r="K51" s="82"/>
      <c r="L51" s="82"/>
      <c r="M51" s="82"/>
    </row>
    <row r="52" spans="1:14" x14ac:dyDescent="0.25">
      <c r="A52" s="299" t="s">
        <v>93</v>
      </c>
      <c r="B52" s="299"/>
      <c r="C52" s="299"/>
      <c r="D52" s="78">
        <v>71</v>
      </c>
      <c r="E52" s="82"/>
      <c r="F52" s="82"/>
      <c r="G52" s="82"/>
      <c r="H52" s="82"/>
      <c r="I52" s="82"/>
      <c r="J52" s="82"/>
      <c r="K52" s="82"/>
      <c r="L52" s="82"/>
      <c r="M52" s="82"/>
    </row>
    <row r="53" spans="1:14" x14ac:dyDescent="0.25">
      <c r="A53" s="299" t="s">
        <v>49</v>
      </c>
      <c r="B53" s="299"/>
      <c r="C53" s="299"/>
      <c r="D53" s="100">
        <f>IF(C5="Roll",(2*SQRT((((D52*1000)/B35)/(C13/10)/PI())+((D44/2/10)^2))*10),IF(C5="Sleeve",(2*SQRT((((D52*1000)/B35)/(G14/10)/PI())+((D44/2/10)^2))*10),IF(C5="Bag or Pouch",(2*SQRT((((D52*1000)/B35)/(K13/10)/PI())+((D44/2/10)^2))*10))))</f>
        <v>1737.6438086744588</v>
      </c>
      <c r="E53" s="82"/>
      <c r="F53" s="82"/>
      <c r="G53" s="82"/>
      <c r="H53" s="82"/>
      <c r="I53" s="82"/>
      <c r="J53" s="82"/>
      <c r="K53" s="82"/>
      <c r="L53" s="82"/>
      <c r="M53" s="82"/>
    </row>
    <row r="54" spans="1:14" x14ac:dyDescent="0.2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</row>
    <row r="55" spans="1:14" x14ac:dyDescent="0.2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</row>
    <row r="56" spans="1:14" x14ac:dyDescent="0.2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</row>
    <row r="57" spans="1:14" x14ac:dyDescent="0.25">
      <c r="A57" s="81" t="s">
        <v>108</v>
      </c>
      <c r="B57" s="82"/>
      <c r="C57" s="82"/>
      <c r="D57" s="83"/>
      <c r="E57" s="83"/>
      <c r="F57" s="83"/>
      <c r="G57" s="83"/>
      <c r="H57" s="83"/>
      <c r="I57" s="82"/>
      <c r="J57" s="82"/>
      <c r="K57" s="82"/>
      <c r="L57" s="82"/>
      <c r="M57" s="82"/>
    </row>
    <row r="58" spans="1:14" ht="15.75" thickBot="1" x14ac:dyDescent="0.3">
      <c r="A58" s="81"/>
      <c r="B58" s="82"/>
      <c r="C58" s="82"/>
      <c r="D58" s="83"/>
      <c r="E58" s="83"/>
      <c r="F58" s="83"/>
      <c r="G58" s="83"/>
      <c r="H58" s="83"/>
      <c r="I58" s="82"/>
      <c r="J58" s="82"/>
      <c r="K58" s="82"/>
      <c r="L58" s="82"/>
      <c r="M58" s="82"/>
    </row>
    <row r="59" spans="1:14" ht="60.75" thickBot="1" x14ac:dyDescent="0.3">
      <c r="A59" s="82"/>
      <c r="B59" s="82"/>
      <c r="C59" s="107" t="s">
        <v>125</v>
      </c>
      <c r="D59" s="108" t="s">
        <v>94</v>
      </c>
      <c r="E59" s="109" t="s">
        <v>95</v>
      </c>
      <c r="F59" s="110" t="s">
        <v>96</v>
      </c>
      <c r="G59" s="111" t="s">
        <v>97</v>
      </c>
      <c r="H59" s="111" t="s">
        <v>98</v>
      </c>
      <c r="I59" s="82"/>
      <c r="J59" s="82"/>
      <c r="K59" s="82"/>
      <c r="L59" s="82"/>
      <c r="M59" s="82"/>
      <c r="N59" s="19"/>
    </row>
    <row r="60" spans="1:14" x14ac:dyDescent="0.25">
      <c r="A60" s="84" t="b">
        <v>0</v>
      </c>
      <c r="B60" s="115" t="s">
        <v>99</v>
      </c>
      <c r="C60" s="201">
        <v>0</v>
      </c>
      <c r="D60" s="116">
        <v>0</v>
      </c>
      <c r="E60" s="105">
        <v>0</v>
      </c>
      <c r="F60" s="117">
        <v>0</v>
      </c>
      <c r="G60" s="118">
        <f>F60*E60</f>
        <v>0</v>
      </c>
      <c r="H60" s="346">
        <f>SUMIF($A$60:$A$69,"true",$G$60:$G$69)</f>
        <v>141966.47760014096</v>
      </c>
      <c r="I60" s="82"/>
      <c r="J60" s="82"/>
      <c r="K60" s="82"/>
      <c r="L60" s="82"/>
      <c r="M60" s="82"/>
    </row>
    <row r="61" spans="1:14" ht="15.75" thickBot="1" x14ac:dyDescent="0.3">
      <c r="A61" s="84" t="b">
        <v>1</v>
      </c>
      <c r="B61" s="119" t="s">
        <v>100</v>
      </c>
      <c r="C61" s="202">
        <v>250</v>
      </c>
      <c r="D61" s="112">
        <v>3</v>
      </c>
      <c r="E61" s="106">
        <f t="shared" ref="E61:E66" si="2">D61+(OQM/C61/60)</f>
        <v>41.099048000038096</v>
      </c>
      <c r="F61" s="113">
        <v>300</v>
      </c>
      <c r="G61" s="114">
        <f t="shared" ref="G61:G68" si="3">F61*E61</f>
        <v>12329.714400011429</v>
      </c>
      <c r="H61" s="347"/>
      <c r="I61" s="82"/>
      <c r="J61" s="85"/>
      <c r="K61" s="82"/>
      <c r="L61" s="82"/>
      <c r="M61" s="82"/>
    </row>
    <row r="62" spans="1:14" ht="15.75" thickBot="1" x14ac:dyDescent="0.3">
      <c r="A62" s="84" t="b">
        <v>0</v>
      </c>
      <c r="B62" s="119" t="s">
        <v>101</v>
      </c>
      <c r="C62" s="202">
        <v>0</v>
      </c>
      <c r="D62" s="116">
        <v>0</v>
      </c>
      <c r="E62" s="106">
        <v>0</v>
      </c>
      <c r="F62" s="113">
        <v>0</v>
      </c>
      <c r="G62" s="114">
        <f t="shared" si="3"/>
        <v>0</v>
      </c>
      <c r="H62" s="347"/>
      <c r="I62" s="82"/>
      <c r="J62" s="86"/>
      <c r="K62" s="82"/>
      <c r="L62" s="82"/>
      <c r="M62" s="82"/>
    </row>
    <row r="63" spans="1:14" ht="15.75" thickBot="1" x14ac:dyDescent="0.3">
      <c r="A63" s="84" t="b">
        <v>0</v>
      </c>
      <c r="B63" s="119" t="s">
        <v>102</v>
      </c>
      <c r="C63" s="202">
        <v>0</v>
      </c>
      <c r="D63" s="116">
        <v>0</v>
      </c>
      <c r="E63" s="106">
        <v>0</v>
      </c>
      <c r="F63" s="113">
        <v>0</v>
      </c>
      <c r="G63" s="114">
        <f t="shared" si="3"/>
        <v>0</v>
      </c>
      <c r="H63" s="347"/>
      <c r="I63" s="82"/>
      <c r="J63" s="86"/>
      <c r="K63" s="82"/>
      <c r="L63" s="82"/>
      <c r="M63" s="82"/>
    </row>
    <row r="64" spans="1:14" ht="15.75" thickBot="1" x14ac:dyDescent="0.3">
      <c r="A64" s="84" t="b">
        <v>0</v>
      </c>
      <c r="B64" s="119" t="s">
        <v>103</v>
      </c>
      <c r="C64" s="202">
        <v>0</v>
      </c>
      <c r="D64" s="116">
        <v>0</v>
      </c>
      <c r="E64" s="106">
        <v>0</v>
      </c>
      <c r="F64" s="113">
        <v>0</v>
      </c>
      <c r="G64" s="114">
        <f t="shared" si="3"/>
        <v>0</v>
      </c>
      <c r="H64" s="347"/>
      <c r="I64" s="82"/>
      <c r="J64" s="86"/>
      <c r="K64" s="82"/>
      <c r="L64" s="82"/>
      <c r="M64" s="82"/>
    </row>
    <row r="65" spans="1:16" x14ac:dyDescent="0.25">
      <c r="A65" s="84" t="b">
        <v>0</v>
      </c>
      <c r="B65" s="119" t="s">
        <v>126</v>
      </c>
      <c r="C65" s="202">
        <v>0</v>
      </c>
      <c r="D65" s="116">
        <v>0</v>
      </c>
      <c r="E65" s="106">
        <v>0</v>
      </c>
      <c r="F65" s="113">
        <v>0</v>
      </c>
      <c r="G65" s="114">
        <f t="shared" si="3"/>
        <v>0</v>
      </c>
      <c r="H65" s="347"/>
      <c r="I65" s="82"/>
      <c r="J65" s="86"/>
      <c r="K65" s="82"/>
      <c r="L65" s="82"/>
      <c r="M65" s="82"/>
    </row>
    <row r="66" spans="1:16" x14ac:dyDescent="0.25">
      <c r="A66" s="84" t="b">
        <v>1</v>
      </c>
      <c r="B66" s="119" t="s">
        <v>104</v>
      </c>
      <c r="C66" s="202">
        <v>500</v>
      </c>
      <c r="D66" s="112">
        <v>0.5</v>
      </c>
      <c r="E66" s="106">
        <f t="shared" si="2"/>
        <v>19.549524000019048</v>
      </c>
      <c r="F66" s="113">
        <v>50</v>
      </c>
      <c r="G66" s="114">
        <f t="shared" si="3"/>
        <v>977.47620000095242</v>
      </c>
      <c r="H66" s="347"/>
      <c r="I66" s="82"/>
      <c r="J66" s="82"/>
      <c r="K66" s="82"/>
      <c r="L66" s="82"/>
      <c r="M66" s="82"/>
    </row>
    <row r="67" spans="1:16" x14ac:dyDescent="0.25">
      <c r="A67" s="84" t="b">
        <v>1</v>
      </c>
      <c r="B67" s="119" t="s">
        <v>105</v>
      </c>
      <c r="C67" s="202">
        <v>500</v>
      </c>
      <c r="D67" s="112">
        <v>0.5</v>
      </c>
      <c r="E67" s="106">
        <f>D67+(OQM*Nb_Ups_Sleeve/C67/60)</f>
        <v>571.98572000057152</v>
      </c>
      <c r="F67" s="113">
        <v>100</v>
      </c>
      <c r="G67" s="114">
        <f t="shared" si="3"/>
        <v>57198.572000057153</v>
      </c>
      <c r="H67" s="347"/>
      <c r="I67" s="82"/>
      <c r="J67" s="82"/>
      <c r="K67" s="82"/>
      <c r="L67" s="82"/>
      <c r="M67" s="82"/>
      <c r="O67" s="13"/>
    </row>
    <row r="68" spans="1:16" x14ac:dyDescent="0.25">
      <c r="A68" s="84" t="b">
        <v>1</v>
      </c>
      <c r="B68" s="119" t="s">
        <v>106</v>
      </c>
      <c r="C68" s="202">
        <v>200</v>
      </c>
      <c r="D68" s="112">
        <v>0.5</v>
      </c>
      <c r="E68" s="106">
        <f>D68+(OQM*Nb_Ups_Sleeve/C68/60)</f>
        <v>1429.2143000014289</v>
      </c>
      <c r="F68" s="113">
        <v>50</v>
      </c>
      <c r="G68" s="114">
        <f t="shared" si="3"/>
        <v>71460.715000071446</v>
      </c>
      <c r="H68" s="347"/>
      <c r="I68" s="82"/>
      <c r="J68" s="82"/>
      <c r="K68" s="82"/>
      <c r="L68" s="82"/>
      <c r="M68" s="82"/>
    </row>
    <row r="69" spans="1:16" ht="15.75" thickBot="1" x14ac:dyDescent="0.3">
      <c r="A69" s="84" t="b">
        <v>0</v>
      </c>
      <c r="B69" s="120" t="s">
        <v>127</v>
      </c>
      <c r="C69" s="203">
        <v>0</v>
      </c>
      <c r="D69" s="121">
        <v>0</v>
      </c>
      <c r="E69" s="126">
        <v>0</v>
      </c>
      <c r="F69" s="122">
        <v>0</v>
      </c>
      <c r="G69" s="123">
        <f>F69*E69</f>
        <v>0</v>
      </c>
      <c r="H69" s="348"/>
      <c r="I69" s="82"/>
      <c r="J69" s="82"/>
      <c r="K69" s="82"/>
      <c r="L69" s="82"/>
      <c r="M69" s="82"/>
    </row>
    <row r="70" spans="1:16" x14ac:dyDescent="0.25">
      <c r="A70" s="82"/>
      <c r="B70" s="82"/>
      <c r="C70" s="82"/>
      <c r="D70" s="82"/>
      <c r="E70" s="82"/>
      <c r="F70" s="82"/>
      <c r="G70" s="87" t="s">
        <v>109</v>
      </c>
      <c r="H70" s="124">
        <f>H60/OQKG</f>
        <v>7.0983238800070483</v>
      </c>
      <c r="I70" s="82"/>
      <c r="J70" s="82"/>
      <c r="K70" s="82"/>
      <c r="L70" s="82"/>
      <c r="M70" s="82"/>
    </row>
    <row r="71" spans="1:16" x14ac:dyDescent="0.2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</row>
    <row r="72" spans="1:16" ht="15.75" thickBot="1" x14ac:dyDescent="0.3">
      <c r="A72" s="82"/>
      <c r="B72" s="86" t="s">
        <v>128</v>
      </c>
      <c r="C72" s="82"/>
      <c r="D72" s="82"/>
      <c r="E72" s="83"/>
      <c r="F72" s="83"/>
      <c r="G72" s="83"/>
      <c r="H72" s="83"/>
      <c r="I72" s="83"/>
      <c r="J72" s="83"/>
      <c r="K72" s="82"/>
      <c r="L72" s="82"/>
      <c r="M72" s="82"/>
    </row>
    <row r="73" spans="1:16" x14ac:dyDescent="0.25">
      <c r="B73" s="303"/>
      <c r="C73" s="304" t="s">
        <v>41</v>
      </c>
      <c r="D73" s="80" t="s">
        <v>91</v>
      </c>
      <c r="E73" s="306" t="s">
        <v>42</v>
      </c>
      <c r="F73" s="308" t="s">
        <v>43</v>
      </c>
      <c r="G73" s="308" t="s">
        <v>107</v>
      </c>
      <c r="H73" s="297" t="s">
        <v>44</v>
      </c>
      <c r="I73" s="83"/>
      <c r="J73" s="89"/>
      <c r="K73" s="89"/>
      <c r="L73" s="89"/>
      <c r="M73" s="89"/>
      <c r="N73" s="39"/>
      <c r="O73" s="39"/>
      <c r="P73" s="39"/>
    </row>
    <row r="74" spans="1:16" ht="15.75" thickBot="1" x14ac:dyDescent="0.3">
      <c r="A74" s="82"/>
      <c r="B74" s="303"/>
      <c r="C74" s="305"/>
      <c r="D74" s="181">
        <v>0.3</v>
      </c>
      <c r="E74" s="307"/>
      <c r="F74" s="309"/>
      <c r="G74" s="309"/>
      <c r="H74" s="298"/>
      <c r="I74" s="83"/>
      <c r="J74" s="90"/>
      <c r="K74" s="90"/>
      <c r="L74" s="90"/>
      <c r="M74" s="90"/>
      <c r="N74" s="40"/>
      <c r="O74" s="40"/>
      <c r="P74" s="40"/>
    </row>
    <row r="75" spans="1:16" x14ac:dyDescent="0.25">
      <c r="A75" s="82"/>
      <c r="B75" s="182" t="s">
        <v>45</v>
      </c>
      <c r="C75" s="183">
        <f>(B38/B37*1000)</f>
        <v>3.0690620490620497</v>
      </c>
      <c r="D75" s="183">
        <f>C75*D74</f>
        <v>0.92071861471861483</v>
      </c>
      <c r="E75" s="184">
        <v>0.1</v>
      </c>
      <c r="F75" s="184">
        <v>0.2</v>
      </c>
      <c r="G75" s="184">
        <f>H70</f>
        <v>7.0983238800070483</v>
      </c>
      <c r="H75" s="186">
        <f>SUM(C75:G75)</f>
        <v>11.388104543787712</v>
      </c>
      <c r="I75" s="83"/>
      <c r="J75" s="88"/>
      <c r="K75" s="88"/>
      <c r="L75" s="88"/>
      <c r="M75" s="88"/>
      <c r="N75" s="15"/>
      <c r="O75" s="15"/>
      <c r="P75" s="15"/>
    </row>
    <row r="76" spans="1:16" x14ac:dyDescent="0.25">
      <c r="A76" s="82"/>
      <c r="B76" s="187" t="s">
        <v>46</v>
      </c>
      <c r="C76" s="91">
        <f>(C75/$E$35)*1000</f>
        <v>0.56500035900000012</v>
      </c>
      <c r="D76" s="91">
        <f>(D75/$E$35)*1000</f>
        <v>0.16950010770000001</v>
      </c>
      <c r="E76" s="91">
        <f>(E75/$E$35)*1000</f>
        <v>1.8409544999999999E-2</v>
      </c>
      <c r="F76" s="91">
        <f>(F75/$E$35)*1000</f>
        <v>3.6819089999999999E-2</v>
      </c>
      <c r="G76" s="91">
        <f>(G75/$E$35)*1000</f>
        <v>1.3067691289356436</v>
      </c>
      <c r="H76" s="188">
        <f>SUM(C76:G76)</f>
        <v>2.0964982306356434</v>
      </c>
      <c r="I76" s="83"/>
      <c r="J76" s="88"/>
      <c r="K76" s="88"/>
      <c r="L76" s="88"/>
      <c r="M76" s="88"/>
      <c r="N76" s="15"/>
      <c r="O76" s="15"/>
      <c r="P76" s="15"/>
    </row>
    <row r="77" spans="1:16" x14ac:dyDescent="0.25">
      <c r="A77" s="82"/>
      <c r="B77" s="187" t="s">
        <v>90</v>
      </c>
      <c r="C77" s="92">
        <f>(C75/$E$37)</f>
        <v>0.10634300000000002</v>
      </c>
      <c r="D77" s="92">
        <f t="shared" ref="D77:F77" si="4">(D75/$E$37)</f>
        <v>3.1902899999999998E-2</v>
      </c>
      <c r="E77" s="92">
        <f t="shared" si="4"/>
        <v>3.4649999999999998E-3</v>
      </c>
      <c r="F77" s="92">
        <f t="shared" si="4"/>
        <v>6.9299999999999995E-3</v>
      </c>
      <c r="G77" s="92">
        <f t="shared" ref="G77" si="5">(G75/$E$37)</f>
        <v>0.24595692244224421</v>
      </c>
      <c r="H77" s="189">
        <f>SUM(C77:G77)</f>
        <v>0.39459782244224423</v>
      </c>
      <c r="I77" s="83"/>
      <c r="J77" s="93"/>
      <c r="K77" s="93"/>
      <c r="L77" s="93"/>
      <c r="M77" s="93"/>
      <c r="N77" s="41"/>
      <c r="O77" s="41"/>
      <c r="P77" s="41"/>
    </row>
    <row r="78" spans="1:16" x14ac:dyDescent="0.25">
      <c r="A78" s="82"/>
      <c r="B78" s="187" t="s">
        <v>47</v>
      </c>
      <c r="C78" s="92">
        <f>(C75/$E$39)</f>
        <v>3.5093190000000008E-3</v>
      </c>
      <c r="D78" s="92">
        <f>(D75/$E$39)</f>
        <v>1.0527957000000001E-3</v>
      </c>
      <c r="E78" s="92">
        <f>(E75/$E$39)</f>
        <v>1.14345E-4</v>
      </c>
      <c r="F78" s="92">
        <f>(F75/$E$39)</f>
        <v>2.2869000000000001E-4</v>
      </c>
      <c r="G78" s="92">
        <f>(G75/$E$39)</f>
        <v>8.1165784405940588E-3</v>
      </c>
      <c r="H78" s="189">
        <f>SUM(C78:G78)</f>
        <v>1.302172814059406E-2</v>
      </c>
      <c r="I78" s="83"/>
      <c r="J78" s="93"/>
      <c r="K78" s="93"/>
      <c r="L78" s="93"/>
      <c r="M78" s="93"/>
      <c r="N78" s="41"/>
      <c r="O78" s="41"/>
      <c r="P78" s="41"/>
    </row>
    <row r="79" spans="1:16" ht="15.75" thickBot="1" x14ac:dyDescent="0.3">
      <c r="B79" s="190" t="s">
        <v>154</v>
      </c>
      <c r="C79" s="191">
        <f>C78*500</f>
        <v>1.7546595000000005</v>
      </c>
      <c r="D79" s="191">
        <f>D78*500</f>
        <v>0.52639785000000006</v>
      </c>
      <c r="E79" s="191">
        <f t="shared" ref="E79:G79" si="6">E78*500</f>
        <v>5.7172500000000001E-2</v>
      </c>
      <c r="F79" s="191">
        <f t="shared" si="6"/>
        <v>0.114345</v>
      </c>
      <c r="G79" s="191">
        <f t="shared" si="6"/>
        <v>4.0582892202970298</v>
      </c>
      <c r="H79" s="192">
        <f>SUM(C79:G79)</f>
        <v>6.5108640702970302</v>
      </c>
      <c r="I79" s="10"/>
      <c r="J79" s="41"/>
      <c r="K79" s="41"/>
      <c r="L79" s="41"/>
      <c r="M79" s="41"/>
      <c r="N79" s="41"/>
      <c r="O79" s="41"/>
      <c r="P79" s="41"/>
    </row>
    <row r="80" spans="1:16" x14ac:dyDescent="0.25">
      <c r="A80" s="54"/>
      <c r="B80" s="41"/>
      <c r="C80" s="41"/>
      <c r="D80" s="41"/>
      <c r="E80" s="41"/>
      <c r="F80" s="41"/>
      <c r="G80" s="41"/>
      <c r="H80" s="10"/>
      <c r="I80" s="41"/>
      <c r="J80" s="41"/>
      <c r="K80" s="41"/>
      <c r="L80" s="41"/>
      <c r="M80" s="41"/>
      <c r="N80" s="41"/>
      <c r="O80" s="41"/>
    </row>
    <row r="81" spans="1:21" x14ac:dyDescent="0.25">
      <c r="A81" s="54"/>
      <c r="B81" s="41"/>
      <c r="C81" s="41"/>
      <c r="D81" s="41"/>
      <c r="E81" s="41"/>
      <c r="F81" s="41"/>
      <c r="G81" s="41"/>
      <c r="H81" s="10"/>
      <c r="I81" s="41"/>
      <c r="J81" s="41"/>
      <c r="K81" s="41"/>
      <c r="L81" s="41"/>
      <c r="M81" s="41"/>
      <c r="N81" s="41"/>
      <c r="O81" s="41"/>
    </row>
    <row r="82" spans="1:21" ht="26.25" x14ac:dyDescent="0.25">
      <c r="A82" s="54"/>
      <c r="B82" s="41"/>
      <c r="C82" s="41"/>
      <c r="D82" s="41"/>
      <c r="E82" s="41"/>
      <c r="F82" s="41"/>
      <c r="G82" s="10"/>
      <c r="H82" s="291"/>
      <c r="I82" s="291"/>
      <c r="J82" s="291"/>
      <c r="K82" s="41"/>
      <c r="L82" s="41"/>
      <c r="M82" s="41"/>
      <c r="N82" s="41"/>
    </row>
    <row r="83" spans="1:21" ht="18.75" x14ac:dyDescent="0.3">
      <c r="A83" s="54"/>
      <c r="B83" s="292" t="s">
        <v>136</v>
      </c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41"/>
      <c r="N83" s="41"/>
    </row>
    <row r="84" spans="1:21" x14ac:dyDescent="0.25">
      <c r="A84" s="54"/>
      <c r="B84" s="41"/>
      <c r="C84" s="41"/>
      <c r="D84" s="41"/>
      <c r="E84" s="41"/>
      <c r="F84" s="41"/>
      <c r="G84" s="10"/>
      <c r="H84" s="41"/>
      <c r="I84" s="41"/>
      <c r="J84" s="41"/>
      <c r="K84" s="41"/>
      <c r="L84" s="41"/>
      <c r="M84" s="41"/>
      <c r="N84" s="41"/>
    </row>
    <row r="85" spans="1:21" ht="15.75" x14ac:dyDescent="0.25">
      <c r="A85" s="54"/>
      <c r="B85" s="150" t="s">
        <v>137</v>
      </c>
      <c r="C85" s="138">
        <v>1500</v>
      </c>
      <c r="D85" s="139" t="s">
        <v>2</v>
      </c>
      <c r="E85" s="41"/>
      <c r="F85" s="41"/>
      <c r="G85" s="10"/>
      <c r="H85" s="41"/>
      <c r="I85" s="41"/>
      <c r="J85" s="41"/>
      <c r="K85" s="41"/>
      <c r="L85" s="41"/>
      <c r="M85" s="41"/>
      <c r="N85" s="41"/>
    </row>
    <row r="86" spans="1:21" ht="15.75" thickBot="1" x14ac:dyDescent="0.3">
      <c r="A86" s="54"/>
      <c r="B86" s="41"/>
      <c r="C86" s="41"/>
      <c r="D86" s="41"/>
      <c r="E86" s="41"/>
      <c r="F86" s="41"/>
      <c r="G86" s="10"/>
      <c r="H86" s="41"/>
      <c r="I86" s="41"/>
      <c r="J86" s="41"/>
      <c r="K86" s="41"/>
      <c r="L86" s="41"/>
      <c r="M86" s="41"/>
      <c r="N86" s="41"/>
    </row>
    <row r="87" spans="1:21" ht="15.75" thickBot="1" x14ac:dyDescent="0.3">
      <c r="A87" s="54"/>
      <c r="B87" s="41"/>
      <c r="C87" s="41"/>
      <c r="D87" s="41"/>
      <c r="E87" s="41"/>
      <c r="F87" s="41"/>
      <c r="G87" s="10"/>
      <c r="H87" s="349" t="s">
        <v>146</v>
      </c>
      <c r="I87" s="350"/>
      <c r="J87" s="17" t="s">
        <v>148</v>
      </c>
      <c r="K87" s="351" t="s">
        <v>147</v>
      </c>
      <c r="L87" s="352"/>
      <c r="M87" s="41"/>
      <c r="N87" s="41"/>
    </row>
    <row r="88" spans="1:21" ht="15.75" thickBot="1" x14ac:dyDescent="0.3">
      <c r="A88" s="54"/>
      <c r="B88" s="41"/>
      <c r="C88" s="41"/>
      <c r="D88" s="41"/>
      <c r="E88" s="41"/>
      <c r="F88" s="41"/>
      <c r="G88" s="10"/>
      <c r="H88" s="353">
        <f>C75+H70</f>
        <v>10.167385929069098</v>
      </c>
      <c r="I88" s="354"/>
      <c r="J88" s="162">
        <f>(K88-H88)/H88</f>
        <v>0.98761894452246557</v>
      </c>
      <c r="K88" s="355">
        <f>E106+E122</f>
        <v>20.20888888888889</v>
      </c>
      <c r="L88" s="356"/>
      <c r="M88" s="41"/>
      <c r="N88" s="41"/>
    </row>
    <row r="89" spans="1:21" ht="15.75" thickBot="1" x14ac:dyDescent="0.3">
      <c r="D89" s="42"/>
      <c r="E89" s="42"/>
      <c r="F89" s="42"/>
    </row>
    <row r="90" spans="1:21" ht="30.75" thickBot="1" x14ac:dyDescent="0.3">
      <c r="A90" s="53"/>
      <c r="B90" s="155" t="s">
        <v>12</v>
      </c>
      <c r="C90" s="156" t="s">
        <v>138</v>
      </c>
      <c r="D90" s="156" t="s">
        <v>16</v>
      </c>
      <c r="E90" s="157" t="s">
        <v>140</v>
      </c>
      <c r="F90" s="164" t="s">
        <v>149</v>
      </c>
      <c r="P90" s="222"/>
    </row>
    <row r="91" spans="1:21" x14ac:dyDescent="0.25">
      <c r="B91" s="143" t="str">
        <f t="shared" ref="B91:B103" si="7">IF(ISTEXT(B25), B25, "")</f>
        <v>BOPP Transparent</v>
      </c>
      <c r="C91" s="152">
        <v>1600</v>
      </c>
      <c r="D91" s="144">
        <f t="shared" ref="D91:D103" si="8">IF(B91&lt;&gt;"", G25, "")</f>
        <v>1.8</v>
      </c>
      <c r="E91" s="145">
        <f>IFERROR(D91*C91,"")</f>
        <v>2880</v>
      </c>
      <c r="F91" s="163">
        <f>IFERROR(E91/$E$105,"")</f>
        <v>0.10336164612991984</v>
      </c>
      <c r="P91" s="222"/>
    </row>
    <row r="92" spans="1:21" x14ac:dyDescent="0.25">
      <c r="B92" s="146" t="str">
        <f t="shared" si="7"/>
        <v>All Colors</v>
      </c>
      <c r="C92" s="153">
        <f t="shared" ref="C92" si="9">J26*1.05</f>
        <v>5333.3333333333339</v>
      </c>
      <c r="D92" s="142">
        <f t="shared" si="8"/>
        <v>4.5999999999999996</v>
      </c>
      <c r="E92" s="147">
        <f t="shared" ref="E92:E104" si="10">IFERROR(D92*C92,"")</f>
        <v>24533.333333333336</v>
      </c>
      <c r="F92" s="163">
        <f t="shared" ref="F92:F104" si="11">IFERROR(E92/$E$105,"")</f>
        <v>0.88048809666228023</v>
      </c>
      <c r="P92" s="222"/>
      <c r="Q92" s="294" t="s">
        <v>159</v>
      </c>
      <c r="R92" s="294"/>
      <c r="S92" s="112">
        <f>H75</f>
        <v>11.388104543787712</v>
      </c>
      <c r="T92" s="210" t="s">
        <v>162</v>
      </c>
    </row>
    <row r="93" spans="1:21" x14ac:dyDescent="0.25">
      <c r="B93" s="146" t="str">
        <f t="shared" si="7"/>
        <v/>
      </c>
      <c r="C93" s="153"/>
      <c r="D93" s="142" t="str">
        <f t="shared" si="8"/>
        <v/>
      </c>
      <c r="E93" s="147" t="str">
        <f t="shared" si="10"/>
        <v/>
      </c>
      <c r="F93" s="163" t="str">
        <f t="shared" si="11"/>
        <v/>
      </c>
      <c r="P93" s="222"/>
    </row>
    <row r="94" spans="1:21" x14ac:dyDescent="0.25">
      <c r="B94" s="146" t="str">
        <f t="shared" si="7"/>
        <v/>
      </c>
      <c r="C94" s="153"/>
      <c r="D94" s="142" t="str">
        <f t="shared" si="8"/>
        <v/>
      </c>
      <c r="E94" s="147" t="str">
        <f t="shared" si="10"/>
        <v/>
      </c>
      <c r="F94" s="163" t="str">
        <f t="shared" si="11"/>
        <v/>
      </c>
      <c r="P94" s="222"/>
      <c r="R94" s="215" t="s">
        <v>45</v>
      </c>
      <c r="S94" s="216" t="s">
        <v>160</v>
      </c>
      <c r="T94" s="295" t="s">
        <v>148</v>
      </c>
      <c r="U94" s="296"/>
    </row>
    <row r="95" spans="1:21" x14ac:dyDescent="0.25">
      <c r="B95" s="146" t="str">
        <f t="shared" si="7"/>
        <v/>
      </c>
      <c r="C95" s="153"/>
      <c r="D95" s="142" t="str">
        <f t="shared" si="8"/>
        <v/>
      </c>
      <c r="E95" s="147" t="str">
        <f t="shared" si="10"/>
        <v/>
      </c>
      <c r="F95" s="163" t="str">
        <f t="shared" si="11"/>
        <v/>
      </c>
      <c r="P95" s="222"/>
      <c r="Q95" s="212" t="s">
        <v>161</v>
      </c>
      <c r="R95" s="175">
        <f>C75+H70</f>
        <v>10.167385929069098</v>
      </c>
      <c r="S95" s="211">
        <f>R95/S92</f>
        <v>0.89280756863225985</v>
      </c>
      <c r="T95" s="287">
        <f>R96-R95</f>
        <v>10.041502959819791</v>
      </c>
      <c r="U95" s="289">
        <f>(R96-R95)/R95</f>
        <v>0.98761894452246557</v>
      </c>
    </row>
    <row r="96" spans="1:21" x14ac:dyDescent="0.25">
      <c r="B96" s="146" t="str">
        <f t="shared" si="7"/>
        <v/>
      </c>
      <c r="C96" s="153"/>
      <c r="D96" s="142" t="str">
        <f t="shared" si="8"/>
        <v/>
      </c>
      <c r="E96" s="147" t="str">
        <f t="shared" si="10"/>
        <v/>
      </c>
      <c r="F96" s="163" t="str">
        <f t="shared" si="11"/>
        <v/>
      </c>
      <c r="K96" s="2"/>
      <c r="L96" s="2"/>
      <c r="P96" s="222"/>
      <c r="Q96" s="212" t="s">
        <v>158</v>
      </c>
      <c r="R96" s="175">
        <f>E106+E122</f>
        <v>20.20888888888889</v>
      </c>
      <c r="S96" s="211">
        <f>R96/S92</f>
        <v>1.7745612372265211</v>
      </c>
      <c r="T96" s="288"/>
      <c r="U96" s="289"/>
    </row>
    <row r="97" spans="2:19" x14ac:dyDescent="0.25">
      <c r="B97" s="146" t="str">
        <f t="shared" si="7"/>
        <v/>
      </c>
      <c r="C97" s="153"/>
      <c r="D97" s="142" t="str">
        <f t="shared" si="8"/>
        <v/>
      </c>
      <c r="E97" s="147" t="str">
        <f t="shared" si="10"/>
        <v/>
      </c>
      <c r="F97" s="163" t="str">
        <f t="shared" si="11"/>
        <v/>
      </c>
      <c r="L97" s="43"/>
      <c r="P97" s="222"/>
      <c r="Q97" s="219" t="s">
        <v>156</v>
      </c>
      <c r="R97" s="217">
        <f>S92-R95</f>
        <v>1.2207186147186135</v>
      </c>
      <c r="S97" s="218">
        <f>R97/S92</f>
        <v>0.10719243136774011</v>
      </c>
    </row>
    <row r="98" spans="2:19" x14ac:dyDescent="0.25">
      <c r="B98" s="146" t="str">
        <f t="shared" si="7"/>
        <v/>
      </c>
      <c r="C98" s="153"/>
      <c r="D98" s="142" t="str">
        <f t="shared" si="8"/>
        <v/>
      </c>
      <c r="E98" s="147" t="str">
        <f t="shared" si="10"/>
        <v/>
      </c>
      <c r="F98" s="163" t="str">
        <f t="shared" si="11"/>
        <v/>
      </c>
      <c r="I98" s="3"/>
      <c r="P98" s="222"/>
      <c r="Q98" s="212" t="s">
        <v>157</v>
      </c>
      <c r="R98" s="175">
        <f>S92-R96</f>
        <v>-8.8207843451011776</v>
      </c>
      <c r="S98" s="211">
        <f>R98/S92</f>
        <v>-0.77456123722652115</v>
      </c>
    </row>
    <row r="99" spans="2:19" x14ac:dyDescent="0.25">
      <c r="B99" s="146" t="str">
        <f t="shared" si="7"/>
        <v/>
      </c>
      <c r="C99" s="153"/>
      <c r="D99" s="142" t="str">
        <f t="shared" si="8"/>
        <v/>
      </c>
      <c r="E99" s="147" t="str">
        <f t="shared" si="10"/>
        <v/>
      </c>
      <c r="F99" s="163" t="str">
        <f t="shared" si="11"/>
        <v/>
      </c>
      <c r="I99" s="3"/>
      <c r="P99" s="222"/>
    </row>
    <row r="100" spans="2:19" x14ac:dyDescent="0.25">
      <c r="B100" s="146" t="str">
        <f t="shared" si="7"/>
        <v/>
      </c>
      <c r="C100" s="153"/>
      <c r="D100" s="142" t="str">
        <f t="shared" si="8"/>
        <v/>
      </c>
      <c r="E100" s="147" t="str">
        <f t="shared" si="10"/>
        <v/>
      </c>
      <c r="F100" s="163" t="str">
        <f t="shared" si="11"/>
        <v/>
      </c>
      <c r="P100" s="222"/>
    </row>
    <row r="101" spans="2:19" x14ac:dyDescent="0.25">
      <c r="B101" s="146" t="str">
        <f t="shared" si="7"/>
        <v/>
      </c>
      <c r="C101" s="153"/>
      <c r="D101" s="142" t="str">
        <f t="shared" si="8"/>
        <v/>
      </c>
      <c r="E101" s="147" t="str">
        <f t="shared" si="10"/>
        <v/>
      </c>
      <c r="F101" s="163" t="str">
        <f t="shared" si="11"/>
        <v/>
      </c>
      <c r="P101" s="222"/>
    </row>
    <row r="102" spans="2:19" x14ac:dyDescent="0.25">
      <c r="B102" s="146" t="str">
        <f t="shared" si="7"/>
        <v/>
      </c>
      <c r="C102" s="153"/>
      <c r="D102" s="142" t="str">
        <f t="shared" si="8"/>
        <v/>
      </c>
      <c r="E102" s="147" t="str">
        <f t="shared" si="10"/>
        <v/>
      </c>
      <c r="F102" s="163" t="str">
        <f t="shared" si="11"/>
        <v/>
      </c>
      <c r="P102" s="222"/>
    </row>
    <row r="103" spans="2:19" x14ac:dyDescent="0.25">
      <c r="B103" s="146" t="str">
        <f t="shared" si="7"/>
        <v/>
      </c>
      <c r="C103" s="153"/>
      <c r="D103" s="142" t="str">
        <f t="shared" si="8"/>
        <v/>
      </c>
      <c r="E103" s="147" t="str">
        <f t="shared" si="10"/>
        <v/>
      </c>
      <c r="F103" s="163" t="str">
        <f t="shared" si="11"/>
        <v/>
      </c>
      <c r="P103" s="222"/>
    </row>
    <row r="104" spans="2:19" ht="15.75" thickBot="1" x14ac:dyDescent="0.3">
      <c r="B104" s="148" t="s">
        <v>139</v>
      </c>
      <c r="C104" s="154">
        <v>300</v>
      </c>
      <c r="D104" s="151">
        <f>G31</f>
        <v>1.5</v>
      </c>
      <c r="E104" s="149">
        <f t="shared" si="10"/>
        <v>450</v>
      </c>
      <c r="F104" s="163">
        <f t="shared" si="11"/>
        <v>1.6150257207799976E-2</v>
      </c>
      <c r="P104" s="222"/>
    </row>
    <row r="105" spans="2:19" x14ac:dyDescent="0.25">
      <c r="B105" s="41"/>
      <c r="E105" s="141">
        <f>SUM(E91:E104)</f>
        <v>27863.333333333336</v>
      </c>
      <c r="P105" s="222"/>
    </row>
    <row r="106" spans="2:19" x14ac:dyDescent="0.25">
      <c r="B106" s="41"/>
      <c r="D106" s="87" t="s">
        <v>141</v>
      </c>
      <c r="E106" s="140">
        <f>E105/C85</f>
        <v>18.575555555555557</v>
      </c>
      <c r="P106" s="222"/>
    </row>
    <row r="107" spans="2:19" x14ac:dyDescent="0.25">
      <c r="B107" s="41"/>
      <c r="D107" s="87" t="s">
        <v>142</v>
      </c>
      <c r="E107" s="159">
        <f>(E106-C75)/C75</f>
        <v>5.0525187365411917</v>
      </c>
      <c r="P107" s="222"/>
    </row>
    <row r="108" spans="2:19" x14ac:dyDescent="0.25">
      <c r="B108" s="41"/>
      <c r="P108" s="222"/>
    </row>
    <row r="109" spans="2:19" ht="15.75" thickBot="1" x14ac:dyDescent="0.3">
      <c r="B109" s="41"/>
      <c r="E109" s="4"/>
      <c r="P109" s="222"/>
    </row>
    <row r="110" spans="2:19" ht="30.75" thickBot="1" x14ac:dyDescent="0.3">
      <c r="B110" s="155" t="s">
        <v>143</v>
      </c>
      <c r="C110" s="155" t="s">
        <v>144</v>
      </c>
      <c r="D110" s="155" t="s">
        <v>96</v>
      </c>
      <c r="E110" s="157" t="s">
        <v>140</v>
      </c>
      <c r="F110" s="164" t="s">
        <v>149</v>
      </c>
      <c r="P110" s="222"/>
    </row>
    <row r="111" spans="2:19" x14ac:dyDescent="0.25">
      <c r="B111" s="143" t="str">
        <f t="shared" ref="B111:B120" si="12">IF(A60=TRUE, B60, "")</f>
        <v/>
      </c>
      <c r="C111" s="116"/>
      <c r="D111" s="158" t="str">
        <f t="shared" ref="D111:D120" si="13">IF(B111&lt;&gt;"", F60, "")</f>
        <v/>
      </c>
      <c r="E111" s="145" t="str">
        <f>IFERROR(D111*C111,"")</f>
        <v/>
      </c>
      <c r="F111" s="163" t="str">
        <f>IFERROR(E111/$E$121,"")</f>
        <v/>
      </c>
      <c r="P111" s="222"/>
    </row>
    <row r="112" spans="2:19" x14ac:dyDescent="0.25">
      <c r="B112" s="146" t="str">
        <f t="shared" si="12"/>
        <v>Printing</v>
      </c>
      <c r="C112" s="112">
        <v>5</v>
      </c>
      <c r="D112" s="160">
        <f t="shared" si="13"/>
        <v>300</v>
      </c>
      <c r="E112" s="147">
        <f t="shared" ref="E112:E120" si="14">IFERROR(D112*C112,"")</f>
        <v>1500</v>
      </c>
      <c r="F112" s="163">
        <f t="shared" ref="F112:F120" si="15">IFERROR(E112/$E$121,"")</f>
        <v>0.61224489795918369</v>
      </c>
      <c r="P112" s="222"/>
    </row>
    <row r="113" spans="2:16" x14ac:dyDescent="0.25">
      <c r="B113" s="146" t="str">
        <f t="shared" si="12"/>
        <v/>
      </c>
      <c r="C113" s="112"/>
      <c r="D113" s="160" t="str">
        <f t="shared" si="13"/>
        <v/>
      </c>
      <c r="E113" s="147" t="str">
        <f t="shared" si="14"/>
        <v/>
      </c>
      <c r="F113" s="163" t="str">
        <f t="shared" si="15"/>
        <v/>
      </c>
      <c r="P113" s="222"/>
    </row>
    <row r="114" spans="2:16" x14ac:dyDescent="0.25">
      <c r="B114" s="146" t="str">
        <f t="shared" si="12"/>
        <v/>
      </c>
      <c r="C114" s="112"/>
      <c r="D114" s="160" t="str">
        <f t="shared" si="13"/>
        <v/>
      </c>
      <c r="E114" s="147" t="str">
        <f t="shared" si="14"/>
        <v/>
      </c>
      <c r="F114" s="163" t="str">
        <f t="shared" si="15"/>
        <v/>
      </c>
      <c r="P114" s="222"/>
    </row>
    <row r="115" spans="2:16" x14ac:dyDescent="0.25">
      <c r="B115" s="146" t="str">
        <f t="shared" si="12"/>
        <v/>
      </c>
      <c r="C115" s="112"/>
      <c r="D115" s="160" t="str">
        <f t="shared" si="13"/>
        <v/>
      </c>
      <c r="E115" s="147" t="str">
        <f t="shared" si="14"/>
        <v/>
      </c>
      <c r="F115" s="163" t="str">
        <f t="shared" si="15"/>
        <v/>
      </c>
      <c r="P115" s="222"/>
    </row>
    <row r="116" spans="2:16" x14ac:dyDescent="0.25">
      <c r="B116" s="146" t="str">
        <f t="shared" si="12"/>
        <v/>
      </c>
      <c r="C116" s="112"/>
      <c r="D116" s="160" t="str">
        <f t="shared" si="13"/>
        <v/>
      </c>
      <c r="E116" s="147" t="str">
        <f t="shared" si="14"/>
        <v/>
      </c>
      <c r="F116" s="163" t="str">
        <f t="shared" si="15"/>
        <v/>
      </c>
      <c r="P116" s="222"/>
    </row>
    <row r="117" spans="2:16" x14ac:dyDescent="0.25">
      <c r="B117" s="146" t="str">
        <f t="shared" si="12"/>
        <v>Slitting</v>
      </c>
      <c r="C117" s="112">
        <v>2</v>
      </c>
      <c r="D117" s="160">
        <f t="shared" si="13"/>
        <v>50</v>
      </c>
      <c r="E117" s="147">
        <f t="shared" si="14"/>
        <v>100</v>
      </c>
      <c r="F117" s="163">
        <f t="shared" si="15"/>
        <v>4.0816326530612242E-2</v>
      </c>
      <c r="P117" s="222"/>
    </row>
    <row r="118" spans="2:16" x14ac:dyDescent="0.25">
      <c r="B118" s="146" t="str">
        <f t="shared" si="12"/>
        <v>Sleeving</v>
      </c>
      <c r="C118" s="112">
        <v>4</v>
      </c>
      <c r="D118" s="160">
        <f t="shared" si="13"/>
        <v>100</v>
      </c>
      <c r="E118" s="147">
        <f t="shared" si="14"/>
        <v>400</v>
      </c>
      <c r="F118" s="163">
        <f t="shared" si="15"/>
        <v>0.16326530612244897</v>
      </c>
      <c r="P118" s="222"/>
    </row>
    <row r="119" spans="2:16" x14ac:dyDescent="0.25">
      <c r="B119" s="146" t="str">
        <f t="shared" si="12"/>
        <v>Doctoring</v>
      </c>
      <c r="C119" s="112">
        <v>9</v>
      </c>
      <c r="D119" s="160">
        <f t="shared" si="13"/>
        <v>50</v>
      </c>
      <c r="E119" s="147">
        <f t="shared" si="14"/>
        <v>450</v>
      </c>
      <c r="F119" s="163">
        <f t="shared" si="15"/>
        <v>0.18367346938775511</v>
      </c>
      <c r="P119" s="222"/>
    </row>
    <row r="120" spans="2:16" ht="15.75" thickBot="1" x14ac:dyDescent="0.3">
      <c r="B120" s="148" t="str">
        <f t="shared" si="12"/>
        <v/>
      </c>
      <c r="C120" s="121"/>
      <c r="D120" s="161" t="str">
        <f t="shared" si="13"/>
        <v/>
      </c>
      <c r="E120" s="149" t="str">
        <f t="shared" si="14"/>
        <v/>
      </c>
      <c r="F120" s="163" t="str">
        <f t="shared" si="15"/>
        <v/>
      </c>
      <c r="P120" s="222"/>
    </row>
    <row r="121" spans="2:16" x14ac:dyDescent="0.25">
      <c r="B121" s="41"/>
      <c r="E121" s="141">
        <f>SUM(E111:E120)</f>
        <v>2450</v>
      </c>
      <c r="P121" s="222"/>
    </row>
    <row r="122" spans="2:16" x14ac:dyDescent="0.25">
      <c r="B122" s="290" t="s">
        <v>145</v>
      </c>
      <c r="C122" s="290"/>
      <c r="D122" s="290"/>
      <c r="E122" s="140">
        <f>E121/C85</f>
        <v>1.6333333333333333</v>
      </c>
      <c r="P122" s="222"/>
    </row>
    <row r="123" spans="2:16" x14ac:dyDescent="0.25">
      <c r="B123" s="290" t="s">
        <v>142</v>
      </c>
      <c r="C123" s="290"/>
      <c r="D123" s="290"/>
      <c r="E123" s="159">
        <f>(E122-H70)/H70</f>
        <v>-0.76989873089142391</v>
      </c>
      <c r="P123" s="222"/>
    </row>
    <row r="124" spans="2:16" x14ac:dyDescent="0.25">
      <c r="P124" s="222"/>
    </row>
    <row r="125" spans="2:16" x14ac:dyDescent="0.25">
      <c r="P125" s="222"/>
    </row>
    <row r="126" spans="2:16" x14ac:dyDescent="0.25">
      <c r="P126" s="222"/>
    </row>
    <row r="127" spans="2:16" x14ac:dyDescent="0.25">
      <c r="P127" s="222"/>
    </row>
    <row r="128" spans="2:16" x14ac:dyDescent="0.25">
      <c r="P128" s="222"/>
    </row>
    <row r="129" spans="16:16" x14ac:dyDescent="0.25">
      <c r="P129" s="222"/>
    </row>
    <row r="130" spans="16:16" x14ac:dyDescent="0.25">
      <c r="P130" s="222"/>
    </row>
  </sheetData>
  <mergeCells count="80">
    <mergeCell ref="B122:D122"/>
    <mergeCell ref="B123:D123"/>
    <mergeCell ref="B83:L83"/>
    <mergeCell ref="H87:I87"/>
    <mergeCell ref="K87:L87"/>
    <mergeCell ref="H88:I88"/>
    <mergeCell ref="K88:L88"/>
    <mergeCell ref="G73:G74"/>
    <mergeCell ref="H82:J82"/>
    <mergeCell ref="A48:C48"/>
    <mergeCell ref="A53:C53"/>
    <mergeCell ref="E73:E74"/>
    <mergeCell ref="F73:F74"/>
    <mergeCell ref="H73:H74"/>
    <mergeCell ref="H60:H69"/>
    <mergeCell ref="A46:C46"/>
    <mergeCell ref="A52:C52"/>
    <mergeCell ref="A31:D31"/>
    <mergeCell ref="B73:B74"/>
    <mergeCell ref="C40:D40"/>
    <mergeCell ref="A49:C49"/>
    <mergeCell ref="A50:C50"/>
    <mergeCell ref="C38:D38"/>
    <mergeCell ref="C73:C74"/>
    <mergeCell ref="C39:D39"/>
    <mergeCell ref="C5:E5"/>
    <mergeCell ref="K5:L5"/>
    <mergeCell ref="A47:C47"/>
    <mergeCell ref="A14:B14"/>
    <mergeCell ref="A13:B13"/>
    <mergeCell ref="A44:C44"/>
    <mergeCell ref="A10:C10"/>
    <mergeCell ref="A15:B15"/>
    <mergeCell ref="A16:B16"/>
    <mergeCell ref="A17:B17"/>
    <mergeCell ref="A12:C12"/>
    <mergeCell ref="F35:H35"/>
    <mergeCell ref="F38:H38"/>
    <mergeCell ref="I12:K12"/>
    <mergeCell ref="I13:J13"/>
    <mergeCell ref="I14:J14"/>
    <mergeCell ref="N10:O10"/>
    <mergeCell ref="P10:Q10"/>
    <mergeCell ref="A1:L1"/>
    <mergeCell ref="C36:D36"/>
    <mergeCell ref="C37:D37"/>
    <mergeCell ref="A5:B5"/>
    <mergeCell ref="G5:H5"/>
    <mergeCell ref="I5:J5"/>
    <mergeCell ref="C35:D35"/>
    <mergeCell ref="A9:C9"/>
    <mergeCell ref="A3:B3"/>
    <mergeCell ref="G3:H3"/>
    <mergeCell ref="I3:L3"/>
    <mergeCell ref="C3:E3"/>
    <mergeCell ref="F37:H37"/>
    <mergeCell ref="F36:H36"/>
    <mergeCell ref="I16:J16"/>
    <mergeCell ref="E15:F15"/>
    <mergeCell ref="E12:G12"/>
    <mergeCell ref="E13:F13"/>
    <mergeCell ref="E14:F14"/>
    <mergeCell ref="M12:O12"/>
    <mergeCell ref="M13:N13"/>
    <mergeCell ref="M14:N14"/>
    <mergeCell ref="M15:N15"/>
    <mergeCell ref="M16:N16"/>
    <mergeCell ref="C21:C23"/>
    <mergeCell ref="E21:E23"/>
    <mergeCell ref="H21:H23"/>
    <mergeCell ref="F21:F23"/>
    <mergeCell ref="E17:F17"/>
    <mergeCell ref="G21:G23"/>
    <mergeCell ref="Q92:R92"/>
    <mergeCell ref="T94:U94"/>
    <mergeCell ref="T95:T96"/>
    <mergeCell ref="U95:U96"/>
    <mergeCell ref="M17:N17"/>
    <mergeCell ref="M18:N18"/>
    <mergeCell ref="M19:N20"/>
  </mergeCells>
  <phoneticPr fontId="23" type="noConversion"/>
  <dataValidations count="3">
    <dataValidation type="list" allowBlank="1" showInputMessage="1" showErrorMessage="1" sqref="K5" xr:uid="{A1440DDB-DA60-4B58-AD07-8B4E9FF4CCF4}">
      <formula1>Unit</formula1>
    </dataValidation>
    <dataValidation type="list" allowBlank="1" showInputMessage="1" showErrorMessage="1" sqref="A25:A30" xr:uid="{66166517-5214-49BA-9900-52180023792F}">
      <formula1>Type</formula1>
    </dataValidation>
    <dataValidation type="list" allowBlank="1" showInputMessage="1" showErrorMessage="1" sqref="B25:B30" xr:uid="{91DFEE77-85CD-47B3-957A-4F9A9ECC3BA9}">
      <formula1>INDIRECT($A25)</formula1>
    </dataValidation>
  </dataValidations>
  <pageMargins left="0.11811023622047245" right="0.11811023622047245" top="0.31496062992125984" bottom="0.19685039370078741" header="0.31496062992125984" footer="0.31496062992125984"/>
  <pageSetup paperSize="9" scale="61" orientation="portrait" r:id="rId1"/>
  <colBreaks count="1" manualBreakCount="1">
    <brk id="13" max="1048575" man="1"/>
  </colBreaks>
  <ignoredErrors>
    <ignoredError sqref="E66 G66:G68 C75:H77 G62:G64 D78:H78" evalError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A556BC-39E6-44FD-9E99-BB745560DF5E}">
          <x14:formula1>
            <xm:f>Data!$K$2:$K$4</xm:f>
          </x14:formula1>
          <xm:sqref>C5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4A01-6BD4-415F-ACC7-DA57DCC971A9}">
  <sheetPr>
    <tabColor rgb="FFC00000"/>
  </sheetPr>
  <dimension ref="A1:U130"/>
  <sheetViews>
    <sheetView topLeftCell="A2" zoomScaleNormal="100" workbookViewId="0">
      <selection activeCell="G6" sqref="G6"/>
    </sheetView>
  </sheetViews>
  <sheetFormatPr defaultColWidth="8.85546875" defaultRowHeight="15" x14ac:dyDescent="0.25"/>
  <cols>
    <col min="1" max="1" width="15.7109375" customWidth="1"/>
    <col min="2" max="2" width="17" customWidth="1"/>
    <col min="3" max="3" width="16.7109375" customWidth="1"/>
    <col min="4" max="4" width="13" customWidth="1"/>
    <col min="5" max="5" width="9.85546875" customWidth="1"/>
    <col min="6" max="6" width="11.140625" customWidth="1"/>
    <col min="7" max="7" width="13.85546875" customWidth="1"/>
    <col min="8" max="8" width="15.7109375" customWidth="1"/>
    <col min="9" max="9" width="10.140625" customWidth="1"/>
    <col min="10" max="10" width="13.85546875" customWidth="1"/>
    <col min="11" max="11" width="11.28515625" bestFit="1" customWidth="1"/>
    <col min="12" max="12" width="9.42578125" customWidth="1"/>
    <col min="13" max="13" width="20.85546875" bestFit="1" customWidth="1"/>
    <col min="14" max="14" width="10" bestFit="1" customWidth="1"/>
    <col min="15" max="15" width="13.7109375" bestFit="1" customWidth="1"/>
    <col min="16" max="16" width="14.28515625" bestFit="1" customWidth="1"/>
    <col min="17" max="17" width="20.42578125" bestFit="1" customWidth="1"/>
    <col min="18" max="18" width="13" bestFit="1" customWidth="1"/>
    <col min="19" max="19" width="12.140625" customWidth="1"/>
    <col min="20" max="23" width="12.42578125" bestFit="1" customWidth="1"/>
  </cols>
  <sheetData>
    <row r="1" spans="1:19" ht="21" x14ac:dyDescent="0.35">
      <c r="A1" s="332" t="s">
        <v>153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"/>
      <c r="N1" s="12"/>
      <c r="O1" s="12"/>
      <c r="P1" s="12"/>
      <c r="Q1" s="9"/>
      <c r="R1" s="9"/>
      <c r="S1" s="9"/>
    </row>
    <row r="2" spans="1:19" ht="15.75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5.75" customHeight="1" x14ac:dyDescent="0.25">
      <c r="A3" s="333" t="s">
        <v>50</v>
      </c>
      <c r="B3" s="333"/>
      <c r="C3" s="334" t="s">
        <v>133</v>
      </c>
      <c r="D3" s="334"/>
      <c r="E3" s="334"/>
      <c r="F3" s="9"/>
      <c r="G3" s="333" t="s">
        <v>56</v>
      </c>
      <c r="H3" s="333"/>
      <c r="I3" s="334" t="s">
        <v>134</v>
      </c>
      <c r="J3" s="334"/>
      <c r="K3" s="334"/>
      <c r="L3" s="334"/>
      <c r="M3" s="9"/>
      <c r="N3" s="9"/>
      <c r="O3" s="9"/>
      <c r="P3" s="9"/>
    </row>
    <row r="4" spans="1:19" ht="15.7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9" ht="15.75" customHeight="1" x14ac:dyDescent="0.25">
      <c r="A5" s="333" t="s">
        <v>51</v>
      </c>
      <c r="B5" s="333"/>
      <c r="C5" s="335" t="s">
        <v>52</v>
      </c>
      <c r="D5" s="335"/>
      <c r="E5" s="335"/>
      <c r="F5" s="9"/>
      <c r="G5" s="333" t="s">
        <v>53</v>
      </c>
      <c r="H5" s="333"/>
      <c r="I5" s="336">
        <v>500</v>
      </c>
      <c r="J5" s="336"/>
      <c r="K5" s="335" t="s">
        <v>3</v>
      </c>
      <c r="L5" s="335"/>
      <c r="M5" s="9"/>
      <c r="N5" s="9"/>
      <c r="O5" s="9"/>
    </row>
    <row r="6" spans="1:19" ht="15.75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6"/>
      <c r="N6" s="9"/>
      <c r="O6" s="9"/>
      <c r="P6" s="9"/>
      <c r="Q6" s="9"/>
      <c r="R6" s="9"/>
    </row>
    <row r="7" spans="1:19" x14ac:dyDescent="0.25">
      <c r="M7" s="6"/>
    </row>
    <row r="8" spans="1:19" x14ac:dyDescent="0.25">
      <c r="B8" s="1"/>
      <c r="M8" s="6"/>
      <c r="P8" s="19"/>
    </row>
    <row r="9" spans="1:19" ht="15.75" x14ac:dyDescent="0.25">
      <c r="A9" s="326" t="s">
        <v>54</v>
      </c>
      <c r="B9" s="326"/>
      <c r="C9" s="326"/>
      <c r="O9" s="20"/>
      <c r="P9" s="20"/>
      <c r="Q9" s="20"/>
    </row>
    <row r="10" spans="1:19" ht="15.75" x14ac:dyDescent="0.25">
      <c r="A10" s="326" t="s">
        <v>55</v>
      </c>
      <c r="B10" s="326"/>
      <c r="C10" s="326"/>
      <c r="N10" s="327"/>
      <c r="O10" s="327"/>
      <c r="P10" s="327"/>
      <c r="Q10" s="327"/>
      <c r="R10" s="44"/>
    </row>
    <row r="11" spans="1:19" ht="15.75" thickBot="1" x14ac:dyDescent="0.3"/>
    <row r="12" spans="1:19" ht="15.75" thickBot="1" x14ac:dyDescent="0.3">
      <c r="A12" s="331"/>
      <c r="B12" s="331"/>
      <c r="C12" s="331"/>
      <c r="E12" s="331"/>
      <c r="F12" s="331"/>
      <c r="G12" s="331"/>
      <c r="I12" s="363" t="s">
        <v>70</v>
      </c>
      <c r="J12" s="364"/>
      <c r="K12" s="365"/>
      <c r="M12" s="363" t="s">
        <v>73</v>
      </c>
      <c r="N12" s="364"/>
      <c r="O12" s="365"/>
    </row>
    <row r="13" spans="1:19" x14ac:dyDescent="0.25">
      <c r="A13" s="319"/>
      <c r="B13" s="319"/>
      <c r="C13" s="21"/>
      <c r="E13" s="319"/>
      <c r="F13" s="319"/>
      <c r="G13" s="21"/>
      <c r="I13" s="344" t="s">
        <v>71</v>
      </c>
      <c r="J13" s="345"/>
      <c r="K13" s="29">
        <v>720</v>
      </c>
      <c r="M13" s="344" t="s">
        <v>75</v>
      </c>
      <c r="N13" s="345"/>
      <c r="O13" s="33">
        <v>6.94</v>
      </c>
    </row>
    <row r="14" spans="1:19" x14ac:dyDescent="0.25">
      <c r="A14" s="319"/>
      <c r="B14" s="319"/>
      <c r="C14" s="21"/>
      <c r="E14" s="319"/>
      <c r="F14" s="319"/>
      <c r="G14" s="21"/>
      <c r="I14" s="322" t="s">
        <v>72</v>
      </c>
      <c r="J14" s="323"/>
      <c r="K14" s="30">
        <v>310</v>
      </c>
      <c r="M14" s="322" t="s">
        <v>76</v>
      </c>
      <c r="N14" s="323"/>
      <c r="O14" s="34">
        <v>0.25</v>
      </c>
      <c r="P14" s="21"/>
      <c r="R14" s="21"/>
    </row>
    <row r="15" spans="1:19" x14ac:dyDescent="0.25">
      <c r="A15" s="319"/>
      <c r="B15" s="319"/>
      <c r="C15" s="131"/>
      <c r="E15" s="319"/>
      <c r="F15" s="319"/>
      <c r="G15" s="21"/>
      <c r="I15" s="23" t="s">
        <v>6</v>
      </c>
      <c r="J15" s="22"/>
      <c r="K15" s="31">
        <v>20</v>
      </c>
      <c r="M15" s="322" t="s">
        <v>74</v>
      </c>
      <c r="N15" s="323"/>
      <c r="O15" s="24">
        <f>O14/O13</f>
        <v>3.6023054755043228E-2</v>
      </c>
      <c r="P15" s="21"/>
      <c r="R15" s="21"/>
    </row>
    <row r="16" spans="1:19" ht="15.75" thickBot="1" x14ac:dyDescent="0.3">
      <c r="A16" s="319"/>
      <c r="B16" s="319"/>
      <c r="C16" s="6"/>
      <c r="E16" s="4"/>
      <c r="F16" s="4"/>
      <c r="G16" s="131"/>
      <c r="I16" s="317" t="s">
        <v>7</v>
      </c>
      <c r="J16" s="318"/>
      <c r="K16" s="32">
        <v>3</v>
      </c>
      <c r="M16" s="322" t="s">
        <v>77</v>
      </c>
      <c r="N16" s="323"/>
      <c r="O16" s="25">
        <f>K14*O13*0.001</f>
        <v>2.1514000000000002</v>
      </c>
    </row>
    <row r="17" spans="1:15" x14ac:dyDescent="0.25">
      <c r="A17" s="319"/>
      <c r="B17" s="319"/>
      <c r="C17" s="6"/>
      <c r="E17" s="319"/>
      <c r="F17" s="319"/>
      <c r="G17" s="6"/>
      <c r="M17" s="322" t="s">
        <v>78</v>
      </c>
      <c r="N17" s="323"/>
      <c r="O17" s="24">
        <f>O16*O15</f>
        <v>7.7500000000000013E-2</v>
      </c>
    </row>
    <row r="18" spans="1:15" x14ac:dyDescent="0.25">
      <c r="M18" s="322" t="s">
        <v>79</v>
      </c>
      <c r="N18" s="323"/>
      <c r="O18" s="26">
        <f>O17*E35</f>
        <v>2.0002432295767165</v>
      </c>
    </row>
    <row r="19" spans="1:15" x14ac:dyDescent="0.25">
      <c r="M19" s="357" t="s">
        <v>80</v>
      </c>
      <c r="N19" s="358"/>
      <c r="O19" s="27">
        <f>(O16*I37*1000)/O13</f>
        <v>155000</v>
      </c>
    </row>
    <row r="20" spans="1:15" ht="15.75" thickBot="1" x14ac:dyDescent="0.3">
      <c r="M20" s="359"/>
      <c r="N20" s="360"/>
      <c r="O20" s="28">
        <f>O16*I37</f>
        <v>1075.7</v>
      </c>
    </row>
    <row r="21" spans="1:15" x14ac:dyDescent="0.25">
      <c r="C21" s="320" t="s">
        <v>81</v>
      </c>
      <c r="D21" s="53"/>
      <c r="E21" s="320" t="s">
        <v>81</v>
      </c>
      <c r="F21" s="320"/>
      <c r="G21" s="320" t="s">
        <v>81</v>
      </c>
      <c r="H21" s="320" t="s">
        <v>81</v>
      </c>
    </row>
    <row r="22" spans="1:15" x14ac:dyDescent="0.25">
      <c r="C22" s="320"/>
      <c r="D22" s="53"/>
      <c r="E22" s="320"/>
      <c r="F22" s="320"/>
      <c r="G22" s="320"/>
      <c r="H22" s="320"/>
    </row>
    <row r="23" spans="1:15" ht="15.75" thickBot="1" x14ac:dyDescent="0.3">
      <c r="C23" s="321"/>
      <c r="D23" s="53"/>
      <c r="E23" s="321"/>
      <c r="F23" s="321"/>
      <c r="G23" s="321"/>
      <c r="H23" s="321"/>
    </row>
    <row r="24" spans="1:15" ht="45" x14ac:dyDescent="0.25">
      <c r="A24" s="155" t="s">
        <v>11</v>
      </c>
      <c r="B24" s="156" t="s">
        <v>12</v>
      </c>
      <c r="C24" s="156" t="s">
        <v>13</v>
      </c>
      <c r="D24" s="156" t="s">
        <v>37</v>
      </c>
      <c r="E24" s="156" t="s">
        <v>14</v>
      </c>
      <c r="F24" s="156" t="s">
        <v>15</v>
      </c>
      <c r="G24" s="156" t="s">
        <v>16</v>
      </c>
      <c r="H24" s="156" t="s">
        <v>17</v>
      </c>
      <c r="I24" s="156" t="s">
        <v>18</v>
      </c>
      <c r="J24" s="156" t="s">
        <v>19</v>
      </c>
      <c r="K24" s="157" t="s">
        <v>39</v>
      </c>
    </row>
    <row r="25" spans="1:15" x14ac:dyDescent="0.25">
      <c r="A25" s="172" t="s">
        <v>34</v>
      </c>
      <c r="B25" s="172" t="s">
        <v>121</v>
      </c>
      <c r="C25" s="173">
        <f>VLOOKUP(B25,Material[],3,FALSE)</f>
        <v>1</v>
      </c>
      <c r="D25" s="174">
        <v>12</v>
      </c>
      <c r="E25" s="175">
        <f>VLOOKUP(B25,Material[],2,FALSE)</f>
        <v>1.4</v>
      </c>
      <c r="F25" s="175">
        <f>IF(A25="Substrate",D25*E25,C25*D25)</f>
        <v>16.799999999999997</v>
      </c>
      <c r="G25" s="176">
        <f>VLOOKUP(B25,Material[],4,FALSE)</f>
        <v>1.5</v>
      </c>
      <c r="H25" s="177">
        <v>0.1</v>
      </c>
      <c r="I25" s="178">
        <f>(IF(A25="Substrate",(F25*G25)/1000,(D25*G25)/1000))*(1+table111[[#This Row],[Waste
%]])</f>
        <v>2.7719999999999998E-2</v>
      </c>
      <c r="J25" s="179">
        <f t="shared" ref="J25:J32" si="0">IF(A25="Substrate",(($I$36*F25)/$B$37)*(1+H25),(($I$36*D25)/$B$37)*(1+H25))</f>
        <v>2062.3679999999999</v>
      </c>
      <c r="K25" s="180">
        <f>table111[[#This Row],[Total GSM]]/$B$37</f>
        <v>9.6779768419839832E-2</v>
      </c>
    </row>
    <row r="26" spans="1:15" x14ac:dyDescent="0.25">
      <c r="A26" s="172" t="s">
        <v>27</v>
      </c>
      <c r="B26" s="172" t="s">
        <v>28</v>
      </c>
      <c r="C26" s="173">
        <f>VLOOKUP(B26,Material[],3,FALSE)</f>
        <v>0.35</v>
      </c>
      <c r="D26" s="174">
        <v>8</v>
      </c>
      <c r="E26" s="175">
        <f>VLOOKUP(B26,Material[],2,FALSE)</f>
        <v>1</v>
      </c>
      <c r="F26" s="175">
        <f t="shared" ref="F26:F30" si="1">IF(A26="Substrate",D26*E26,C26*D26)</f>
        <v>2.8</v>
      </c>
      <c r="G26" s="176">
        <f>VLOOKUP(B26,Material[],4,FALSE)</f>
        <v>4.5999999999999996</v>
      </c>
      <c r="H26" s="177">
        <v>0.1</v>
      </c>
      <c r="I26" s="178">
        <f>(IF(A26="Substrate",(F26*G26)/1000,(D26*G26)/1000))*(1+table111[[#This Row],[Waste
%]])</f>
        <v>4.0480000000000002E-2</v>
      </c>
      <c r="J26" s="179">
        <f t="shared" si="0"/>
        <v>982.08</v>
      </c>
      <c r="K26" s="180">
        <f>table111[[#This Row],[Total GSM]]/$B$37</f>
        <v>1.612996140330664E-2</v>
      </c>
      <c r="M26" s="14"/>
    </row>
    <row r="27" spans="1:15" x14ac:dyDescent="0.25">
      <c r="A27" s="172" t="s">
        <v>35</v>
      </c>
      <c r="B27" s="172" t="s">
        <v>24</v>
      </c>
      <c r="C27" s="173">
        <f>VLOOKUP(B27,Material[],3,FALSE)</f>
        <v>0.5</v>
      </c>
      <c r="D27" s="174">
        <v>6</v>
      </c>
      <c r="E27" s="175">
        <f>VLOOKUP(B27,Material[],2,FALSE)</f>
        <v>1</v>
      </c>
      <c r="F27" s="175">
        <f t="shared" si="1"/>
        <v>3</v>
      </c>
      <c r="G27" s="176">
        <f>VLOOKUP(B27,Material[],4,FALSE)</f>
        <v>3.35</v>
      </c>
      <c r="H27" s="177">
        <v>0.1</v>
      </c>
      <c r="I27" s="178">
        <f>(IF(A27="Substrate",(F27*G27)/1000,(D27*G27)/1000))*(1+table111[[#This Row],[Waste
%]])</f>
        <v>2.2110000000000001E-2</v>
      </c>
      <c r="J27" s="179">
        <f t="shared" si="0"/>
        <v>736.56000000000006</v>
      </c>
      <c r="K27" s="180">
        <f>table111[[#This Row],[Total GSM]]/$B$37</f>
        <v>1.728210150354283E-2</v>
      </c>
    </row>
    <row r="28" spans="1:15" x14ac:dyDescent="0.25">
      <c r="A28" s="172" t="s">
        <v>34</v>
      </c>
      <c r="B28" s="172" t="s">
        <v>124</v>
      </c>
      <c r="C28" s="173">
        <f>VLOOKUP(B28,Material[],3,FALSE)</f>
        <v>1</v>
      </c>
      <c r="D28" s="174">
        <v>9</v>
      </c>
      <c r="E28" s="175">
        <f>VLOOKUP(B28,Material[],2,FALSE)</f>
        <v>2.71</v>
      </c>
      <c r="F28" s="175">
        <f t="shared" si="1"/>
        <v>24.39</v>
      </c>
      <c r="G28" s="176">
        <f>VLOOKUP(B28,Material[],4,FALSE)</f>
        <v>3.5</v>
      </c>
      <c r="H28" s="177">
        <v>0.1</v>
      </c>
      <c r="I28" s="178">
        <f>(IF(A28="Substrate",(F28*G28)/1000,(D28*G28)/1000))*(1+table111[[#This Row],[Waste
%]])</f>
        <v>9.3901500000000013E-2</v>
      </c>
      <c r="J28" s="179">
        <f t="shared" si="0"/>
        <v>2994.1164000000003</v>
      </c>
      <c r="K28" s="180">
        <f>table111[[#This Row],[Total GSM]]/$B$37</f>
        <v>0.14050348522380321</v>
      </c>
    </row>
    <row r="29" spans="1:15" x14ac:dyDescent="0.25">
      <c r="A29" s="172" t="s">
        <v>35</v>
      </c>
      <c r="B29" s="172" t="s">
        <v>25</v>
      </c>
      <c r="C29" s="173">
        <f>VLOOKUP(B29,Material[],3,FALSE)</f>
        <v>1</v>
      </c>
      <c r="D29" s="174">
        <v>3</v>
      </c>
      <c r="E29" s="175">
        <f>VLOOKUP(B29,Material[],2,FALSE)</f>
        <v>1</v>
      </c>
      <c r="F29" s="175">
        <f t="shared" si="1"/>
        <v>3</v>
      </c>
      <c r="G29" s="176">
        <f>VLOOKUP(B29,Material[],4,FALSE)</f>
        <v>4</v>
      </c>
      <c r="H29" s="177">
        <v>0.1</v>
      </c>
      <c r="I29" s="178">
        <f>(IF(A29="Substrate",(F29*G29)/1000,(D29*G29)/1000))*(1+table111[[#This Row],[Waste
%]])</f>
        <v>1.3200000000000002E-2</v>
      </c>
      <c r="J29" s="179">
        <f t="shared" si="0"/>
        <v>368.28000000000003</v>
      </c>
      <c r="K29" s="180">
        <f>table111[[#This Row],[Total GSM]]/$B$37</f>
        <v>1.728210150354283E-2</v>
      </c>
    </row>
    <row r="30" spans="1:15" x14ac:dyDescent="0.25">
      <c r="A30" s="172" t="s">
        <v>34</v>
      </c>
      <c r="B30" s="172" t="s">
        <v>119</v>
      </c>
      <c r="C30" s="173">
        <f>VLOOKUP(B30,Material[],3,FALSE)</f>
        <v>1</v>
      </c>
      <c r="D30" s="174">
        <v>100</v>
      </c>
      <c r="E30" s="175">
        <f>VLOOKUP(B30,Material[],2,FALSE)</f>
        <v>0.92</v>
      </c>
      <c r="F30" s="175">
        <f t="shared" si="1"/>
        <v>92</v>
      </c>
      <c r="G30" s="176">
        <f>VLOOKUP(B30,Material[],4,FALSE)</f>
        <v>1.2</v>
      </c>
      <c r="H30" s="177">
        <v>0.1</v>
      </c>
      <c r="I30" s="178">
        <f>(IF(A30="Substrate",(F30*G30)/1000,(D30*G30)/1000))*(1+table111[[#This Row],[Waste
%]])</f>
        <v>0.12144000000000001</v>
      </c>
      <c r="J30" s="179">
        <f t="shared" si="0"/>
        <v>11293.920000000002</v>
      </c>
      <c r="K30" s="180">
        <f>table111[[#This Row],[Total GSM]]/$B$37</f>
        <v>0.52998444610864681</v>
      </c>
    </row>
    <row r="31" spans="1:15" x14ac:dyDescent="0.25">
      <c r="A31" s="172" t="s">
        <v>35</v>
      </c>
      <c r="B31" s="172" t="s">
        <v>25</v>
      </c>
      <c r="C31" s="173">
        <f>VLOOKUP(B31,Material[],3,FALSE)</f>
        <v>1</v>
      </c>
      <c r="D31" s="174">
        <v>4</v>
      </c>
      <c r="E31" s="175">
        <f>VLOOKUP(B31,Material[],2,FALSE)</f>
        <v>1</v>
      </c>
      <c r="F31" s="175">
        <f>IF(A31="Substrate",D31*E31,C31*D31)</f>
        <v>4</v>
      </c>
      <c r="G31" s="176">
        <f>VLOOKUP(B31,Material[],4,FALSE)</f>
        <v>4</v>
      </c>
      <c r="H31" s="177">
        <v>0.1</v>
      </c>
      <c r="I31" s="178">
        <f>(IF(A31="Substrate",(F31*G31)/1000,(D31*G31)/1000))*(1+table111[[#This Row],[Waste
%]])</f>
        <v>1.7600000000000001E-2</v>
      </c>
      <c r="J31" s="179">
        <f t="shared" si="0"/>
        <v>491.04</v>
      </c>
      <c r="K31" s="180">
        <f>table111[[#This Row],[Total GSM]]/$B$37</f>
        <v>2.3042802004723775E-2</v>
      </c>
    </row>
    <row r="32" spans="1:15" x14ac:dyDescent="0.25">
      <c r="A32" s="172" t="s">
        <v>34</v>
      </c>
      <c r="B32" s="172" t="s">
        <v>119</v>
      </c>
      <c r="C32" s="173">
        <f>VLOOKUP(B32,Material[],3,FALSE)</f>
        <v>1</v>
      </c>
      <c r="D32" s="174">
        <v>30</v>
      </c>
      <c r="E32" s="175">
        <f>VLOOKUP(B32,Material[],2,FALSE)</f>
        <v>0.92</v>
      </c>
      <c r="F32" s="175">
        <f>IF(A32="Substrate",D32*E32,C32*D32)</f>
        <v>27.6</v>
      </c>
      <c r="G32" s="176">
        <f>VLOOKUP(B32,Material[],4,FALSE)</f>
        <v>1.2</v>
      </c>
      <c r="H32" s="177">
        <v>0.1</v>
      </c>
      <c r="I32" s="178">
        <f>(IF(A32="Substrate",(F32*G32)/1000,(D32*G32)/1000))*(1+table111[[#This Row],[Waste
%]])</f>
        <v>3.6431999999999999E-2</v>
      </c>
      <c r="J32" s="179">
        <f t="shared" si="0"/>
        <v>3388.1760000000008</v>
      </c>
      <c r="K32" s="180">
        <f>table111[[#This Row],[Total GSM]]/$B$37</f>
        <v>0.15899533383259404</v>
      </c>
    </row>
    <row r="33" spans="1:14" ht="15.75" thickBot="1" x14ac:dyDescent="0.3">
      <c r="A33" s="361" t="s">
        <v>38</v>
      </c>
      <c r="B33" s="362"/>
      <c r="C33" s="362"/>
      <c r="D33" s="362"/>
      <c r="E33" s="194">
        <v>4.1666666666666664E-2</v>
      </c>
      <c r="F33" s="195">
        <v>1</v>
      </c>
      <c r="G33" s="196">
        <f>VLOOKUP("Solvent Mix",Material[],4,FALSE)</f>
        <v>1.5</v>
      </c>
      <c r="H33" s="197"/>
      <c r="I33" s="198">
        <f>((SUMIFS(table111[Total GSM],table111[Type],"ink")+SUMIFS(table111[Total GSM],table111[Material],"Solvent Base"))/$F$33)*G33/1000</f>
        <v>8.6999999999999994E-3</v>
      </c>
      <c r="J33" s="199">
        <f>(SUMIFS(table111[Est.
Required Kgs],table111[Type], "Ink") + SUMIFS(table111[Est.
Required Kgs],table111[Material], "Solvent Base"))*$F$33</f>
        <v>1718.64</v>
      </c>
      <c r="K33" s="200"/>
    </row>
    <row r="34" spans="1:14" ht="15" customHeight="1" x14ac:dyDescent="0.25">
      <c r="A34" s="17"/>
      <c r="B34" s="17"/>
      <c r="C34" s="17"/>
      <c r="D34" s="17"/>
      <c r="E34" s="18"/>
      <c r="F34" s="18"/>
      <c r="G34" s="18"/>
      <c r="H34" s="18"/>
      <c r="I34" s="18"/>
      <c r="J34" s="18"/>
      <c r="K34" s="18"/>
      <c r="N34" s="38"/>
    </row>
    <row r="35" spans="1:14" x14ac:dyDescent="0.25">
      <c r="A35" s="2" t="s">
        <v>40</v>
      </c>
      <c r="B35" s="36">
        <f>B37/B36</f>
        <v>1.0597680097680098</v>
      </c>
      <c r="C35" s="312" t="s">
        <v>66</v>
      </c>
      <c r="D35" s="312"/>
      <c r="E35" s="35">
        <f>IF(C5="Roll", (1000/(C13*C14*B37*0.001*0.001))*C16, IF(C5="Sleeve", (1000/(G14*G15*B37*0.001*0.001))*1, IF(C5="Bag or Pouch", (1000/(K14*K13*B37*0.001*0.001))*1, "")))</f>
        <v>25.809590059054404</v>
      </c>
      <c r="F35" s="312" t="s">
        <v>65</v>
      </c>
      <c r="G35" s="312"/>
      <c r="H35" s="312"/>
      <c r="I35">
        <f>IF(C5="Roll", ((C13*C17)+C15), IF(C5="Sleeve", ((G14*G17)+G16), IF(C5="Bag or Pouch", ((K14*K16)+K15), "")))</f>
        <v>950</v>
      </c>
    </row>
    <row r="36" spans="1:14" x14ac:dyDescent="0.25">
      <c r="A36" s="2" t="s">
        <v>82</v>
      </c>
      <c r="B36" s="37">
        <f>SUMIFS(table111[Micron],table111[Type],"substrate")+SUMIFS(table111[Total GSM],table111[Type],"Ink")+SUMIFS(table111[Total GSM],table111[Type],"Adhesive")</f>
        <v>163.80000000000001</v>
      </c>
      <c r="C36" s="312" t="s">
        <v>59</v>
      </c>
      <c r="D36" s="312"/>
      <c r="E36" s="15">
        <f>1000/E35</f>
        <v>38.745288000000002</v>
      </c>
      <c r="F36" s="312" t="s">
        <v>88</v>
      </c>
      <c r="G36" s="312"/>
      <c r="H36" s="312"/>
      <c r="I36" s="38">
        <f>IF(UnitsDD="Kgs", I5,
 IF(UnitsDD="Kpcs", I5*E36,
 IF(UnitsDD="SQM", I5/E37,
 IF(UnitsDD="LM", I5/E39,
 IF(UnitsDD="Roll 500 LM", (I5/E39)*500, "")))))</f>
        <v>19372.644</v>
      </c>
      <c r="K36" s="13"/>
    </row>
    <row r="37" spans="1:14" x14ac:dyDescent="0.25">
      <c r="A37" s="2" t="s">
        <v>15</v>
      </c>
      <c r="B37" s="37">
        <f>SUM(F25:F32)</f>
        <v>173.59</v>
      </c>
      <c r="C37" s="312" t="s">
        <v>60</v>
      </c>
      <c r="D37" s="312"/>
      <c r="E37" s="15">
        <f>1000/B37</f>
        <v>5.7607005011809438</v>
      </c>
      <c r="F37" s="312" t="s">
        <v>89</v>
      </c>
      <c r="G37" s="312"/>
      <c r="H37" s="312"/>
      <c r="I37" s="38">
        <f>(I36*1000)/E36/1000</f>
        <v>500</v>
      </c>
    </row>
    <row r="38" spans="1:14" x14ac:dyDescent="0.25">
      <c r="A38" s="2" t="s">
        <v>83</v>
      </c>
      <c r="B38" s="16">
        <f>SUM(I25:I32)+I33</f>
        <v>0.38158350000000002</v>
      </c>
      <c r="C38" s="312" t="s">
        <v>86</v>
      </c>
      <c r="D38" s="312"/>
      <c r="E38" s="15">
        <f>(E37/I35)*1000</f>
        <v>6.063895264400994</v>
      </c>
      <c r="F38" s="312" t="s">
        <v>87</v>
      </c>
      <c r="G38" s="312"/>
      <c r="H38" s="312"/>
      <c r="I38" s="38">
        <f>I36*E38</f>
        <v>117473.68421052633</v>
      </c>
    </row>
    <row r="39" spans="1:14" x14ac:dyDescent="0.25">
      <c r="C39" s="312" t="s">
        <v>61</v>
      </c>
      <c r="D39" s="312"/>
      <c r="E39" s="15">
        <f>IF(C5="Roll", ((E37/C13)*1000), IF(C5="Sleeve", ((E37/G14)*1000), IF(C5="Bag or Pouch", ((E37/K13)*1000), "")))</f>
        <v>8.0009729183068661</v>
      </c>
    </row>
    <row r="41" spans="1:14" x14ac:dyDescent="0.25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</row>
    <row r="42" spans="1:14" ht="15.75" x14ac:dyDescent="0.25">
      <c r="A42" s="94" t="s">
        <v>84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</row>
    <row r="43" spans="1:14" ht="16.5" thickBot="1" x14ac:dyDescent="0.3">
      <c r="A43" s="94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</row>
    <row r="44" spans="1:14" ht="15.75" thickBot="1" x14ac:dyDescent="0.3">
      <c r="A44" s="314" t="s">
        <v>92</v>
      </c>
      <c r="B44" s="315"/>
      <c r="C44" s="316"/>
      <c r="D44" s="79">
        <v>176</v>
      </c>
      <c r="E44" s="82"/>
      <c r="F44" s="82"/>
      <c r="G44" s="82"/>
      <c r="H44" s="82"/>
      <c r="I44" s="82"/>
      <c r="J44" s="82"/>
      <c r="K44" s="82"/>
      <c r="L44" s="82"/>
      <c r="M44" s="82"/>
    </row>
    <row r="45" spans="1:14" x14ac:dyDescent="0.25">
      <c r="A45" s="76"/>
      <c r="B45" s="76"/>
      <c r="C45" s="76"/>
      <c r="D45" s="82"/>
      <c r="E45" s="82"/>
      <c r="F45" s="82"/>
      <c r="G45" s="82"/>
      <c r="H45" s="82"/>
      <c r="I45" s="82"/>
      <c r="J45" s="82"/>
      <c r="K45" s="82"/>
      <c r="L45" s="82"/>
      <c r="M45" s="82"/>
    </row>
    <row r="46" spans="1:14" x14ac:dyDescent="0.25">
      <c r="A46" s="299" t="s">
        <v>62</v>
      </c>
      <c r="B46" s="299"/>
      <c r="C46" s="299"/>
      <c r="D46" s="77">
        <v>300</v>
      </c>
      <c r="E46" s="82"/>
      <c r="F46" s="82"/>
      <c r="G46" s="82"/>
      <c r="H46" s="82"/>
      <c r="I46" s="82"/>
      <c r="J46" s="82"/>
      <c r="K46" s="82"/>
      <c r="L46" s="82"/>
      <c r="M46" s="82"/>
    </row>
    <row r="47" spans="1:14" x14ac:dyDescent="0.25">
      <c r="A47" s="299" t="s">
        <v>63</v>
      </c>
      <c r="B47" s="299"/>
      <c r="C47" s="299"/>
      <c r="D47" s="95">
        <f>IF(C5="Roll",(((D46/2)^2-(D44/2)^2)*PI()*C13*B35/1000000),IF(C5="Sleeve",(((D46/2)^2-(D44/2)^2)*PI()*G14*B35/1000000),IF(C5="Bag or Pouch",(((D46/2)^2-(D44/2)^2)*PI()*K13*B35/1000000))))</f>
        <v>35.372179596826548</v>
      </c>
      <c r="E47" s="82"/>
      <c r="F47" s="82"/>
      <c r="G47" s="82"/>
      <c r="H47" s="82"/>
      <c r="I47" s="82"/>
      <c r="J47" s="82"/>
      <c r="K47" s="82"/>
      <c r="L47" s="82"/>
      <c r="M47" s="82"/>
    </row>
    <row r="48" spans="1:14" x14ac:dyDescent="0.25">
      <c r="A48" s="299" t="s">
        <v>48</v>
      </c>
      <c r="B48" s="299"/>
      <c r="C48" s="299"/>
      <c r="D48" s="96">
        <f>IF(C5="Roll",((D47*1000/B35)/((B36/10000)*(C13/10))/100),IF(C5="Sleeve",((D47*1000/B35)/((B36/10000)*(G14/10))/100),IF(C5="Bag or Pouch",((D47*1000/B35)/((B36/10000)*(K13/10))/100))))</f>
        <v>283.01185101569587</v>
      </c>
      <c r="E48" s="82"/>
      <c r="F48" s="82"/>
      <c r="G48" s="82"/>
      <c r="H48" s="82"/>
      <c r="I48" s="82"/>
      <c r="J48" s="82"/>
      <c r="K48" s="82"/>
      <c r="L48" s="82"/>
      <c r="M48" s="82"/>
    </row>
    <row r="49" spans="1:14" x14ac:dyDescent="0.25">
      <c r="A49" s="299" t="s">
        <v>85</v>
      </c>
      <c r="B49" s="299"/>
      <c r="C49" s="299"/>
      <c r="D49" s="97">
        <f>IF(C5="Roll",C13,IF(C5="Sleeve", G14,IF(C5="Bag or Pouch", K13)))</f>
        <v>720</v>
      </c>
      <c r="E49" s="82"/>
      <c r="F49" s="82"/>
      <c r="G49" s="82"/>
      <c r="H49" s="82"/>
      <c r="I49" s="82"/>
      <c r="J49" s="82"/>
      <c r="K49" s="82"/>
      <c r="L49" s="82"/>
      <c r="M49" s="82"/>
    </row>
    <row r="50" spans="1:14" x14ac:dyDescent="0.25">
      <c r="A50" s="299" t="s">
        <v>64</v>
      </c>
      <c r="B50" s="299"/>
      <c r="C50" s="299"/>
      <c r="D50" s="98">
        <f>(D47*E35)</f>
        <v>912.94145488934146</v>
      </c>
      <c r="E50" s="82"/>
      <c r="F50" s="82"/>
      <c r="G50" s="82"/>
      <c r="H50" s="82"/>
      <c r="I50" s="82"/>
      <c r="J50" s="82"/>
      <c r="K50" s="82"/>
      <c r="L50" s="82"/>
      <c r="M50" s="82"/>
    </row>
    <row r="51" spans="1:14" x14ac:dyDescent="0.25">
      <c r="A51" s="76"/>
      <c r="B51" s="76"/>
      <c r="C51" s="76"/>
      <c r="D51" s="99"/>
      <c r="E51" s="82"/>
      <c r="F51" s="82"/>
      <c r="G51" s="82"/>
      <c r="H51" s="82"/>
      <c r="I51" s="82"/>
      <c r="J51" s="82"/>
      <c r="K51" s="82"/>
      <c r="L51" s="82"/>
      <c r="M51" s="82"/>
    </row>
    <row r="52" spans="1:14" x14ac:dyDescent="0.25">
      <c r="A52" s="299" t="s">
        <v>93</v>
      </c>
      <c r="B52" s="299"/>
      <c r="C52" s="299"/>
      <c r="D52" s="78">
        <v>221</v>
      </c>
      <c r="E52" s="82"/>
      <c r="F52" s="82"/>
      <c r="G52" s="82"/>
      <c r="H52" s="82"/>
      <c r="I52" s="82"/>
      <c r="J52" s="82"/>
      <c r="K52" s="82"/>
      <c r="L52" s="82"/>
      <c r="M52" s="82"/>
    </row>
    <row r="53" spans="1:14" x14ac:dyDescent="0.25">
      <c r="A53" s="299" t="s">
        <v>49</v>
      </c>
      <c r="B53" s="299"/>
      <c r="C53" s="299"/>
      <c r="D53" s="100">
        <f>IF(C5="Roll",(2*SQRT((((D52*1000)/B35)/(C13/10)/PI())+((D44/2/10)^2))*10),IF(C5="Sleeve",(2*SQRT((((D52*1000)/B35)/(G14/10)/PI())+((D44/2/10)^2))*10),IF(C5="Bag or Pouch",(2*SQRT((((D52*1000)/B35)/(K13/10)/PI())+((D44/2/10)^2))*10))))</f>
        <v>632.25705038862782</v>
      </c>
      <c r="E53" s="82"/>
      <c r="F53" s="82"/>
      <c r="G53" s="82"/>
      <c r="H53" s="82"/>
      <c r="I53" s="82"/>
      <c r="J53" s="82"/>
      <c r="K53" s="82"/>
      <c r="L53" s="82"/>
      <c r="M53" s="82"/>
    </row>
    <row r="54" spans="1:14" x14ac:dyDescent="0.2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</row>
    <row r="55" spans="1:14" x14ac:dyDescent="0.2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</row>
    <row r="56" spans="1:14" x14ac:dyDescent="0.2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</row>
    <row r="57" spans="1:14" x14ac:dyDescent="0.25">
      <c r="A57" s="81" t="s">
        <v>108</v>
      </c>
      <c r="B57" s="82"/>
      <c r="C57" s="82"/>
      <c r="D57" s="83"/>
      <c r="E57" s="83"/>
      <c r="F57" s="83"/>
      <c r="G57" s="83"/>
      <c r="H57" s="83"/>
      <c r="I57" s="82"/>
      <c r="J57" s="82"/>
      <c r="K57" s="82"/>
      <c r="L57" s="82"/>
      <c r="M57" s="82"/>
    </row>
    <row r="58" spans="1:14" ht="15.75" thickBot="1" x14ac:dyDescent="0.3">
      <c r="A58" s="81"/>
      <c r="B58" s="82"/>
      <c r="C58" s="82"/>
      <c r="D58" s="83"/>
      <c r="E58" s="83"/>
      <c r="F58" s="83"/>
      <c r="G58" s="83"/>
      <c r="H58" s="83"/>
      <c r="I58" s="82"/>
      <c r="J58" s="82"/>
      <c r="K58" s="82"/>
      <c r="L58" s="82"/>
      <c r="M58" s="82"/>
    </row>
    <row r="59" spans="1:14" ht="45.75" thickBot="1" x14ac:dyDescent="0.3">
      <c r="A59" s="82"/>
      <c r="B59" s="82"/>
      <c r="C59" s="107" t="s">
        <v>125</v>
      </c>
      <c r="D59" s="108" t="s">
        <v>94</v>
      </c>
      <c r="E59" s="109" t="s">
        <v>95</v>
      </c>
      <c r="F59" s="110" t="s">
        <v>96</v>
      </c>
      <c r="G59" s="111" t="s">
        <v>97</v>
      </c>
      <c r="H59" s="111" t="s">
        <v>98</v>
      </c>
      <c r="I59" s="82"/>
      <c r="J59" s="82"/>
      <c r="K59" s="82"/>
      <c r="L59" s="82"/>
      <c r="M59" s="82"/>
      <c r="N59" s="19"/>
    </row>
    <row r="60" spans="1:14" x14ac:dyDescent="0.25">
      <c r="A60" s="84" t="b">
        <v>1</v>
      </c>
      <c r="B60" s="115" t="s">
        <v>99</v>
      </c>
      <c r="C60" s="201">
        <v>700</v>
      </c>
      <c r="D60" s="116">
        <v>2</v>
      </c>
      <c r="E60" s="105">
        <f>(D60+(SUMIFS(table111[Est.
Required Kgs], table111[Material], "LDPE Transparent") + SUMIFS(table111[Est.
Required Kgs], table111[Material], "LDPE White"))/C60)</f>
        <v>22.974422857142862</v>
      </c>
      <c r="F60" s="117">
        <v>300</v>
      </c>
      <c r="G60" s="118">
        <f>F60*E60</f>
        <v>6892.3268571428589</v>
      </c>
      <c r="H60" s="346">
        <f>SUMIF($A$60:$A$69,"true",$G$60:$G$69)</f>
        <v>17057.940892230581</v>
      </c>
      <c r="I60" s="82"/>
      <c r="J60" s="82"/>
      <c r="K60" s="82"/>
      <c r="L60" s="82"/>
      <c r="M60" s="82"/>
    </row>
    <row r="61" spans="1:14" x14ac:dyDescent="0.25">
      <c r="A61" s="84" t="b">
        <v>1</v>
      </c>
      <c r="B61" s="119" t="s">
        <v>100</v>
      </c>
      <c r="C61" s="202">
        <v>250</v>
      </c>
      <c r="D61" s="112">
        <v>3</v>
      </c>
      <c r="E61" s="106">
        <f t="shared" ref="E61:E66" si="2">D61+(OQM/C61/60)</f>
        <v>10.831578947368422</v>
      </c>
      <c r="F61" s="113">
        <v>300</v>
      </c>
      <c r="G61" s="114">
        <f t="shared" ref="G61:G68" si="3">F61*E61</f>
        <v>3249.4736842105267</v>
      </c>
      <c r="H61" s="347"/>
      <c r="I61" s="82"/>
      <c r="J61" s="85"/>
      <c r="K61" s="82"/>
      <c r="L61" s="82"/>
      <c r="M61" s="82"/>
    </row>
    <row r="62" spans="1:14" x14ac:dyDescent="0.25">
      <c r="A62" s="84" t="b">
        <v>1</v>
      </c>
      <c r="B62" s="119" t="s">
        <v>101</v>
      </c>
      <c r="C62" s="202">
        <v>500</v>
      </c>
      <c r="D62" s="112">
        <v>0.5</v>
      </c>
      <c r="E62" s="106">
        <f t="shared" si="2"/>
        <v>4.4157894736842112</v>
      </c>
      <c r="F62" s="113">
        <v>50</v>
      </c>
      <c r="G62" s="114">
        <f t="shared" si="3"/>
        <v>220.78947368421055</v>
      </c>
      <c r="H62" s="347"/>
      <c r="I62" s="82"/>
      <c r="J62" s="86"/>
      <c r="K62" s="82"/>
      <c r="L62" s="82"/>
      <c r="M62" s="82"/>
    </row>
    <row r="63" spans="1:14" x14ac:dyDescent="0.25">
      <c r="A63" s="84" t="b">
        <v>1</v>
      </c>
      <c r="B63" s="119" t="s">
        <v>102</v>
      </c>
      <c r="C63" s="202">
        <v>200</v>
      </c>
      <c r="D63" s="112">
        <v>1</v>
      </c>
      <c r="E63" s="106">
        <f t="shared" si="2"/>
        <v>10.789473684210527</v>
      </c>
      <c r="F63" s="113">
        <v>100</v>
      </c>
      <c r="G63" s="114">
        <f t="shared" si="3"/>
        <v>1078.9473684210527</v>
      </c>
      <c r="H63" s="347"/>
      <c r="I63" s="82"/>
      <c r="J63" s="86"/>
      <c r="K63" s="82"/>
      <c r="L63" s="82"/>
      <c r="M63" s="82"/>
    </row>
    <row r="64" spans="1:14" x14ac:dyDescent="0.25">
      <c r="A64" s="84" t="b">
        <v>1</v>
      </c>
      <c r="B64" s="119" t="s">
        <v>103</v>
      </c>
      <c r="C64" s="202">
        <v>400</v>
      </c>
      <c r="D64" s="112">
        <v>1</v>
      </c>
      <c r="E64" s="106">
        <f t="shared" si="2"/>
        <v>5.8947368421052637</v>
      </c>
      <c r="F64" s="113">
        <v>100</v>
      </c>
      <c r="G64" s="114">
        <f t="shared" si="3"/>
        <v>589.47368421052636</v>
      </c>
      <c r="H64" s="347"/>
      <c r="I64" s="82"/>
      <c r="J64" s="86"/>
      <c r="K64" s="82"/>
      <c r="L64" s="82"/>
      <c r="M64" s="82"/>
    </row>
    <row r="65" spans="1:16" x14ac:dyDescent="0.25">
      <c r="A65" s="84" t="b">
        <v>1</v>
      </c>
      <c r="B65" s="119" t="s">
        <v>126</v>
      </c>
      <c r="C65" s="202">
        <v>400</v>
      </c>
      <c r="D65" s="112">
        <v>1</v>
      </c>
      <c r="E65" s="106">
        <f>D65+(OQM/C65/60)</f>
        <v>5.8947368421052637</v>
      </c>
      <c r="F65" s="113">
        <v>100</v>
      </c>
      <c r="G65" s="114">
        <f t="shared" si="3"/>
        <v>589.47368421052636</v>
      </c>
      <c r="H65" s="347"/>
      <c r="I65" s="82"/>
      <c r="J65" s="86"/>
      <c r="K65" s="82"/>
      <c r="L65" s="82"/>
      <c r="M65" s="82"/>
    </row>
    <row r="66" spans="1:16" x14ac:dyDescent="0.25">
      <c r="A66" s="84" t="b">
        <v>1</v>
      </c>
      <c r="B66" s="119" t="s">
        <v>104</v>
      </c>
      <c r="C66" s="202">
        <v>500</v>
      </c>
      <c r="D66" s="112">
        <v>0.5</v>
      </c>
      <c r="E66" s="106">
        <f t="shared" si="2"/>
        <v>4.4157894736842112</v>
      </c>
      <c r="F66" s="113">
        <v>50</v>
      </c>
      <c r="G66" s="114">
        <f t="shared" si="3"/>
        <v>220.78947368421055</v>
      </c>
      <c r="H66" s="347"/>
      <c r="I66" s="82"/>
      <c r="J66" s="82"/>
      <c r="K66" s="82"/>
      <c r="L66" s="82"/>
      <c r="M66" s="82"/>
    </row>
    <row r="67" spans="1:16" x14ac:dyDescent="0.25">
      <c r="A67" s="84" t="b">
        <v>0</v>
      </c>
      <c r="B67" s="119" t="s">
        <v>105</v>
      </c>
      <c r="C67" s="202">
        <v>0</v>
      </c>
      <c r="D67" s="112">
        <v>0</v>
      </c>
      <c r="E67" s="106">
        <v>0</v>
      </c>
      <c r="F67" s="113">
        <v>0</v>
      </c>
      <c r="G67" s="114">
        <f t="shared" si="3"/>
        <v>0</v>
      </c>
      <c r="H67" s="347"/>
      <c r="I67" s="82"/>
      <c r="J67" s="82"/>
      <c r="K67" s="82"/>
      <c r="L67" s="82"/>
      <c r="M67" s="82"/>
      <c r="O67" s="13"/>
    </row>
    <row r="68" spans="1:16" x14ac:dyDescent="0.25">
      <c r="A68" s="84" t="b">
        <v>0</v>
      </c>
      <c r="B68" s="119" t="s">
        <v>106</v>
      </c>
      <c r="C68" s="202">
        <v>0</v>
      </c>
      <c r="D68" s="112">
        <v>0</v>
      </c>
      <c r="E68" s="106">
        <v>0</v>
      </c>
      <c r="F68" s="113">
        <v>0</v>
      </c>
      <c r="G68" s="114">
        <f t="shared" si="3"/>
        <v>0</v>
      </c>
      <c r="H68" s="347"/>
      <c r="I68" s="82"/>
      <c r="J68" s="82"/>
      <c r="K68" s="82"/>
      <c r="L68" s="82"/>
      <c r="M68" s="82"/>
    </row>
    <row r="69" spans="1:16" ht="15.75" thickBot="1" x14ac:dyDescent="0.3">
      <c r="A69" s="84" t="b">
        <v>1</v>
      </c>
      <c r="B69" s="120" t="s">
        <v>127</v>
      </c>
      <c r="C69" s="203">
        <v>200</v>
      </c>
      <c r="D69" s="121">
        <v>0.5</v>
      </c>
      <c r="E69" s="126">
        <f>D69+(((I37*1000)/C69)/60)</f>
        <v>42.166666666666664</v>
      </c>
      <c r="F69" s="122">
        <v>100</v>
      </c>
      <c r="G69" s="123">
        <f>F69*E69</f>
        <v>4216.6666666666661</v>
      </c>
      <c r="H69" s="348"/>
      <c r="I69" s="82"/>
      <c r="J69" s="82"/>
      <c r="K69" s="82"/>
      <c r="L69" s="82"/>
      <c r="M69" s="82"/>
    </row>
    <row r="70" spans="1:16" x14ac:dyDescent="0.25">
      <c r="A70" s="82"/>
      <c r="B70" s="82"/>
      <c r="C70" s="82"/>
      <c r="D70" s="82"/>
      <c r="E70" s="82"/>
      <c r="F70" s="82"/>
      <c r="G70" s="87" t="s">
        <v>109</v>
      </c>
      <c r="H70" s="124">
        <f>H60/OQKG</f>
        <v>0.88051692336010412</v>
      </c>
      <c r="I70" s="82"/>
      <c r="J70" s="82"/>
      <c r="K70" s="82"/>
      <c r="L70" s="82"/>
      <c r="M70" s="82"/>
    </row>
    <row r="71" spans="1:16" x14ac:dyDescent="0.2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</row>
    <row r="72" spans="1:16" ht="15.75" thickBot="1" x14ac:dyDescent="0.3">
      <c r="A72" s="82"/>
      <c r="B72" s="86" t="s">
        <v>128</v>
      </c>
      <c r="C72" s="82"/>
      <c r="D72" s="82"/>
      <c r="E72" s="83"/>
      <c r="F72" s="83"/>
      <c r="G72" s="83"/>
      <c r="H72" s="83"/>
      <c r="I72" s="83"/>
      <c r="J72" s="83"/>
      <c r="K72" s="82"/>
      <c r="L72" s="82"/>
      <c r="M72" s="82"/>
    </row>
    <row r="73" spans="1:16" x14ac:dyDescent="0.25">
      <c r="B73" s="303"/>
      <c r="C73" s="304" t="s">
        <v>41</v>
      </c>
      <c r="D73" s="80" t="s">
        <v>91</v>
      </c>
      <c r="E73" s="306" t="s">
        <v>42</v>
      </c>
      <c r="F73" s="308" t="s">
        <v>43</v>
      </c>
      <c r="G73" s="308" t="s">
        <v>107</v>
      </c>
      <c r="H73" s="297" t="s">
        <v>44</v>
      </c>
      <c r="I73" s="83"/>
      <c r="J73" s="89"/>
      <c r="K73" s="89"/>
      <c r="L73" s="89"/>
      <c r="M73" s="89"/>
      <c r="N73" s="39"/>
      <c r="O73" s="39"/>
      <c r="P73" s="39"/>
    </row>
    <row r="74" spans="1:16" ht="15.75" thickBot="1" x14ac:dyDescent="0.3">
      <c r="A74" s="82"/>
      <c r="B74" s="303"/>
      <c r="C74" s="305"/>
      <c r="D74" s="181">
        <v>0.3</v>
      </c>
      <c r="E74" s="307"/>
      <c r="F74" s="309"/>
      <c r="G74" s="309"/>
      <c r="H74" s="298"/>
      <c r="I74" s="83"/>
      <c r="J74" s="90"/>
      <c r="K74" s="90"/>
      <c r="L74" s="90"/>
      <c r="M74" s="90"/>
      <c r="N74" s="40"/>
      <c r="O74" s="40"/>
      <c r="P74" s="40"/>
    </row>
    <row r="75" spans="1:16" x14ac:dyDescent="0.25">
      <c r="A75" s="82"/>
      <c r="B75" s="182" t="s">
        <v>45</v>
      </c>
      <c r="C75" s="183">
        <f>(B38/B37*1000)</f>
        <v>2.1981882596923783</v>
      </c>
      <c r="D75" s="183">
        <f>C75*D74</f>
        <v>0.65945647790771345</v>
      </c>
      <c r="E75" s="184">
        <v>0.1</v>
      </c>
      <c r="F75" s="184">
        <v>0.2</v>
      </c>
      <c r="G75" s="184">
        <f>H70</f>
        <v>0.88051692336010412</v>
      </c>
      <c r="H75" s="186">
        <f>SUM(C75:G75)</f>
        <v>4.0381616609601965</v>
      </c>
      <c r="I75" s="83"/>
      <c r="J75" s="88"/>
      <c r="K75" s="88"/>
      <c r="L75" s="88"/>
      <c r="M75" s="88"/>
      <c r="N75" s="15"/>
      <c r="O75" s="15"/>
      <c r="P75" s="15"/>
    </row>
    <row r="76" spans="1:16" x14ac:dyDescent="0.25">
      <c r="A76" s="82"/>
      <c r="B76" s="187" t="s">
        <v>46</v>
      </c>
      <c r="C76" s="91">
        <f>(C75/$E$35)*1000</f>
        <v>85.169437200000004</v>
      </c>
      <c r="D76" s="91">
        <f>(D75/$E$35)*1000</f>
        <v>25.550831159999998</v>
      </c>
      <c r="E76" s="91">
        <f>(E75/$E$35)*1000</f>
        <v>3.8745288000000007</v>
      </c>
      <c r="F76" s="91">
        <f>(F75/$E$35)*1000</f>
        <v>7.7490576000000013</v>
      </c>
      <c r="G76" s="91">
        <f>(G75/$E$35)*1000</f>
        <v>34.115881784461166</v>
      </c>
      <c r="H76" s="188">
        <f>SUM(C76:G76)</f>
        <v>156.45973654446118</v>
      </c>
      <c r="I76" s="83"/>
      <c r="J76" s="88"/>
      <c r="K76" s="88"/>
      <c r="L76" s="88"/>
      <c r="M76" s="88"/>
      <c r="N76" s="15"/>
      <c r="O76" s="15"/>
      <c r="P76" s="15"/>
    </row>
    <row r="77" spans="1:16" x14ac:dyDescent="0.25">
      <c r="A77" s="82"/>
      <c r="B77" s="187" t="s">
        <v>90</v>
      </c>
      <c r="C77" s="92">
        <f>(C75/$E$37)</f>
        <v>0.38158349999999991</v>
      </c>
      <c r="D77" s="92">
        <f t="shared" ref="D77:G77" si="4">(D75/$E$37)</f>
        <v>0.11447504999999997</v>
      </c>
      <c r="E77" s="92">
        <f t="shared" si="4"/>
        <v>1.7358999999999999E-2</v>
      </c>
      <c r="F77" s="92">
        <f t="shared" si="4"/>
        <v>3.4717999999999999E-2</v>
      </c>
      <c r="G77" s="92">
        <f t="shared" si="4"/>
        <v>0.15284893272608047</v>
      </c>
      <c r="H77" s="189">
        <f>SUM(C77:G77)</f>
        <v>0.70098448272608038</v>
      </c>
      <c r="I77" s="83"/>
      <c r="J77" s="93"/>
      <c r="K77" s="93"/>
      <c r="L77" s="93"/>
      <c r="M77" s="93"/>
      <c r="N77" s="41"/>
      <c r="O77" s="41"/>
      <c r="P77" s="41"/>
    </row>
    <row r="78" spans="1:16" x14ac:dyDescent="0.25">
      <c r="A78" s="82"/>
      <c r="B78" s="187" t="s">
        <v>47</v>
      </c>
      <c r="C78" s="92">
        <f>(C75/$E$39)</f>
        <v>0.27474011999999998</v>
      </c>
      <c r="D78" s="92">
        <f>(D75/$E$39)</f>
        <v>8.242203599999999E-2</v>
      </c>
      <c r="E78" s="92">
        <f>(E75/$E$39)</f>
        <v>1.2498480000000001E-2</v>
      </c>
      <c r="F78" s="92">
        <f>(F75/$E$39)</f>
        <v>2.4996960000000002E-2</v>
      </c>
      <c r="G78" s="92">
        <f>(G75/$E$39)</f>
        <v>0.11005123156277795</v>
      </c>
      <c r="H78" s="189">
        <f>SUM(C78:G78)</f>
        <v>0.50470882756277791</v>
      </c>
      <c r="I78" s="83"/>
      <c r="J78" s="93"/>
      <c r="K78" s="93"/>
      <c r="L78" s="93"/>
      <c r="M78" s="93"/>
      <c r="N78" s="41"/>
      <c r="O78" s="41"/>
      <c r="P78" s="41"/>
    </row>
    <row r="79" spans="1:16" ht="15.75" thickBot="1" x14ac:dyDescent="0.3">
      <c r="B79" s="190" t="s">
        <v>154</v>
      </c>
      <c r="C79" s="191">
        <f>C78*500</f>
        <v>137.37006</v>
      </c>
      <c r="D79" s="191">
        <f>D78*500</f>
        <v>41.211017999999996</v>
      </c>
      <c r="E79" s="191">
        <f t="shared" ref="E79:G79" si="5">E78*500</f>
        <v>6.2492400000000004</v>
      </c>
      <c r="F79" s="191">
        <f t="shared" si="5"/>
        <v>12.498480000000001</v>
      </c>
      <c r="G79" s="191">
        <f t="shared" si="5"/>
        <v>55.025615781388971</v>
      </c>
      <c r="H79" s="192">
        <f>SUM(C79:G79)</f>
        <v>252.35441378138896</v>
      </c>
      <c r="I79" s="10"/>
      <c r="J79" s="41"/>
      <c r="K79" s="41"/>
      <c r="L79" s="41"/>
      <c r="M79" s="41"/>
      <c r="N79" s="41"/>
      <c r="O79" s="41"/>
      <c r="P79" s="41"/>
    </row>
    <row r="80" spans="1:16" x14ac:dyDescent="0.25">
      <c r="A80" s="54"/>
      <c r="B80" s="41"/>
      <c r="C80" s="41"/>
      <c r="D80" s="41"/>
      <c r="E80" s="41"/>
      <c r="F80" s="41"/>
      <c r="G80" s="41"/>
      <c r="H80" s="10"/>
      <c r="I80" s="41"/>
      <c r="J80" s="41"/>
      <c r="K80" s="41"/>
      <c r="L80" s="41"/>
      <c r="M80" s="41"/>
      <c r="N80" s="41"/>
      <c r="O80" s="41"/>
    </row>
    <row r="81" spans="1:21" x14ac:dyDescent="0.25">
      <c r="A81" s="54"/>
      <c r="B81" s="41"/>
      <c r="C81" s="41"/>
      <c r="D81" s="41"/>
      <c r="E81" s="41"/>
      <c r="F81" s="41"/>
      <c r="G81" s="41"/>
      <c r="H81" s="10"/>
      <c r="I81" s="41"/>
      <c r="J81" s="41"/>
      <c r="K81" s="41"/>
      <c r="L81" s="41"/>
      <c r="M81" s="41"/>
      <c r="N81" s="41"/>
      <c r="O81" s="41"/>
    </row>
    <row r="82" spans="1:21" ht="26.25" x14ac:dyDescent="0.25">
      <c r="A82" s="54"/>
      <c r="B82" s="41"/>
      <c r="C82" s="41"/>
      <c r="D82" s="41"/>
      <c r="E82" s="41"/>
      <c r="F82" s="41"/>
      <c r="G82" s="10"/>
      <c r="H82" s="291"/>
      <c r="I82" s="291"/>
      <c r="J82" s="291"/>
      <c r="K82" s="41"/>
      <c r="L82" s="41"/>
      <c r="M82" s="41"/>
      <c r="N82" s="41"/>
    </row>
    <row r="83" spans="1:21" ht="18.75" x14ac:dyDescent="0.3">
      <c r="A83" s="54"/>
      <c r="B83" s="292" t="s">
        <v>136</v>
      </c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41"/>
      <c r="N83" s="41"/>
    </row>
    <row r="84" spans="1:21" x14ac:dyDescent="0.25">
      <c r="A84" s="54"/>
      <c r="B84" s="41"/>
      <c r="C84" s="41"/>
      <c r="D84" s="41"/>
      <c r="E84" s="41"/>
      <c r="F84" s="41"/>
      <c r="G84" s="10"/>
      <c r="H84" s="41"/>
      <c r="I84" s="41"/>
      <c r="J84" s="41"/>
      <c r="K84" s="41"/>
      <c r="L84" s="41"/>
      <c r="M84" s="41"/>
      <c r="N84" s="41"/>
    </row>
    <row r="85" spans="1:21" ht="15.75" x14ac:dyDescent="0.25">
      <c r="A85" s="54"/>
      <c r="B85" s="150" t="s">
        <v>137</v>
      </c>
      <c r="C85" s="138">
        <v>14000</v>
      </c>
      <c r="D85" s="139" t="s">
        <v>2</v>
      </c>
      <c r="E85" s="41"/>
      <c r="F85" s="41"/>
      <c r="G85" s="10"/>
      <c r="H85" s="41"/>
      <c r="I85" s="41"/>
      <c r="J85" s="41"/>
      <c r="K85" s="41"/>
      <c r="L85" s="41"/>
      <c r="M85" s="41"/>
      <c r="N85" s="41"/>
    </row>
    <row r="86" spans="1:21" ht="15.75" thickBot="1" x14ac:dyDescent="0.3">
      <c r="A86" s="54"/>
      <c r="B86" s="41"/>
      <c r="C86" s="41"/>
      <c r="D86" s="41"/>
      <c r="E86" s="41"/>
      <c r="F86" s="41"/>
      <c r="G86" s="10"/>
      <c r="H86" s="41"/>
      <c r="I86" s="41"/>
      <c r="J86" s="41"/>
      <c r="K86" s="41"/>
      <c r="L86" s="41"/>
      <c r="M86" s="41"/>
      <c r="N86" s="41"/>
    </row>
    <row r="87" spans="1:21" ht="15.75" thickBot="1" x14ac:dyDescent="0.3">
      <c r="A87" s="54"/>
      <c r="B87" s="41"/>
      <c r="C87" s="41"/>
      <c r="D87" s="41"/>
      <c r="E87" s="41"/>
      <c r="F87" s="41"/>
      <c r="G87" s="10"/>
      <c r="H87" s="349" t="s">
        <v>146</v>
      </c>
      <c r="I87" s="350"/>
      <c r="J87" s="17" t="s">
        <v>148</v>
      </c>
      <c r="K87" s="351" t="s">
        <v>147</v>
      </c>
      <c r="L87" s="352"/>
      <c r="M87" s="41"/>
      <c r="N87" s="41"/>
    </row>
    <row r="88" spans="1:21" ht="15.75" thickBot="1" x14ac:dyDescent="0.3">
      <c r="A88" s="54"/>
      <c r="B88" s="41"/>
      <c r="C88" s="41"/>
      <c r="D88" s="41"/>
      <c r="E88" s="41"/>
      <c r="F88" s="41"/>
      <c r="G88" s="10"/>
      <c r="H88" s="353">
        <f>C75+H70</f>
        <v>3.0787051830524823</v>
      </c>
      <c r="I88" s="354"/>
      <c r="J88" s="162">
        <f>(K88-H88)/H88</f>
        <v>6.0858781331305026E-2</v>
      </c>
      <c r="K88" s="355">
        <f>E106+E122</f>
        <v>3.2660714285714287</v>
      </c>
      <c r="L88" s="356"/>
      <c r="M88" s="41"/>
      <c r="N88" s="41"/>
    </row>
    <row r="89" spans="1:21" ht="15.75" thickBot="1" x14ac:dyDescent="0.3">
      <c r="D89" s="42"/>
      <c r="E89" s="42"/>
      <c r="F89" s="42"/>
    </row>
    <row r="90" spans="1:21" ht="30.75" thickBot="1" x14ac:dyDescent="0.3">
      <c r="A90" s="53"/>
      <c r="B90" s="155" t="s">
        <v>12</v>
      </c>
      <c r="C90" s="156" t="s">
        <v>138</v>
      </c>
      <c r="D90" s="156" t="s">
        <v>16</v>
      </c>
      <c r="E90" s="157" t="s">
        <v>140</v>
      </c>
      <c r="F90" s="164" t="s">
        <v>149</v>
      </c>
      <c r="P90" s="222"/>
    </row>
    <row r="91" spans="1:21" x14ac:dyDescent="0.25">
      <c r="B91" s="143" t="str">
        <f t="shared" ref="B91:B103" si="6">IF(ISTEXT(B25), B25, "")</f>
        <v>PET Transparent</v>
      </c>
      <c r="C91" s="152">
        <v>1600</v>
      </c>
      <c r="D91" s="144">
        <f t="shared" ref="D91:D103" si="7">IF(B91&lt;&gt;"", G25, "")</f>
        <v>1.5</v>
      </c>
      <c r="E91" s="145">
        <f>IFERROR(D91*C91,"")</f>
        <v>2400</v>
      </c>
      <c r="F91" s="163">
        <f>IFERROR(E91/$E$105,"")</f>
        <v>7.4708171206225679E-2</v>
      </c>
      <c r="P91" s="222"/>
    </row>
    <row r="92" spans="1:21" x14ac:dyDescent="0.25">
      <c r="B92" s="146" t="str">
        <f t="shared" si="6"/>
        <v>All Colors</v>
      </c>
      <c r="C92" s="153">
        <v>700</v>
      </c>
      <c r="D92" s="142">
        <f t="shared" si="7"/>
        <v>4.5999999999999996</v>
      </c>
      <c r="E92" s="147">
        <f t="shared" ref="E92:E104" si="8">IFERROR(D92*C92,"")</f>
        <v>3219.9999999999995</v>
      </c>
      <c r="F92" s="163">
        <f t="shared" ref="F92:F104" si="9">IFERROR(E92/$E$105,"")</f>
        <v>0.10023346303501944</v>
      </c>
      <c r="P92" s="222"/>
      <c r="Q92" s="294" t="s">
        <v>159</v>
      </c>
      <c r="R92" s="294"/>
      <c r="S92" s="112">
        <f>H75</f>
        <v>4.0381616609601965</v>
      </c>
      <c r="T92" s="210" t="s">
        <v>162</v>
      </c>
    </row>
    <row r="93" spans="1:21" x14ac:dyDescent="0.25">
      <c r="B93" s="146" t="str">
        <f t="shared" si="6"/>
        <v>Solvent Base</v>
      </c>
      <c r="C93" s="153">
        <v>500</v>
      </c>
      <c r="D93" s="142">
        <f t="shared" si="7"/>
        <v>3.35</v>
      </c>
      <c r="E93" s="147">
        <f t="shared" si="8"/>
        <v>1675</v>
      </c>
      <c r="F93" s="163">
        <f t="shared" si="9"/>
        <v>5.2140077821011675E-2</v>
      </c>
      <c r="P93" s="222"/>
    </row>
    <row r="94" spans="1:21" x14ac:dyDescent="0.25">
      <c r="B94" s="146" t="str">
        <f t="shared" si="6"/>
        <v>Aluminium Foil</v>
      </c>
      <c r="C94" s="153">
        <v>2200</v>
      </c>
      <c r="D94" s="142">
        <f t="shared" si="7"/>
        <v>3.5</v>
      </c>
      <c r="E94" s="147">
        <f t="shared" si="8"/>
        <v>7700</v>
      </c>
      <c r="F94" s="163">
        <f t="shared" si="9"/>
        <v>0.2396887159533074</v>
      </c>
      <c r="P94" s="222"/>
      <c r="R94" s="215" t="s">
        <v>45</v>
      </c>
      <c r="S94" s="216" t="s">
        <v>160</v>
      </c>
      <c r="T94" s="295" t="s">
        <v>148</v>
      </c>
      <c r="U94" s="296"/>
    </row>
    <row r="95" spans="1:21" x14ac:dyDescent="0.25">
      <c r="B95" s="146" t="str">
        <f t="shared" si="6"/>
        <v>Solvent Less</v>
      </c>
      <c r="C95" s="153">
        <v>250</v>
      </c>
      <c r="D95" s="142">
        <f t="shared" si="7"/>
        <v>4</v>
      </c>
      <c r="E95" s="147">
        <f t="shared" si="8"/>
        <v>1000</v>
      </c>
      <c r="F95" s="163">
        <f t="shared" si="9"/>
        <v>3.1128404669260701E-2</v>
      </c>
      <c r="P95" s="222"/>
      <c r="Q95" s="212" t="s">
        <v>161</v>
      </c>
      <c r="R95" s="175">
        <f>C75+H70</f>
        <v>3.0787051830524823</v>
      </c>
      <c r="S95" s="211">
        <f>R95/S92</f>
        <v>0.76240265782733074</v>
      </c>
      <c r="T95" s="287">
        <f>R96-R95</f>
        <v>0.18736624551894643</v>
      </c>
      <c r="U95" s="289">
        <f>(R96-R95)/R95</f>
        <v>6.0858781331305026E-2</v>
      </c>
    </row>
    <row r="96" spans="1:21" x14ac:dyDescent="0.25">
      <c r="B96" s="146" t="str">
        <f t="shared" si="6"/>
        <v>LDPE Transparent</v>
      </c>
      <c r="C96" s="153">
        <v>8000</v>
      </c>
      <c r="D96" s="142">
        <f t="shared" si="7"/>
        <v>1.2</v>
      </c>
      <c r="E96" s="147">
        <f t="shared" si="8"/>
        <v>9600</v>
      </c>
      <c r="F96" s="163">
        <f t="shared" si="9"/>
        <v>0.29883268482490272</v>
      </c>
      <c r="K96" s="2"/>
      <c r="L96" s="2"/>
      <c r="P96" s="222"/>
      <c r="Q96" s="212" t="s">
        <v>158</v>
      </c>
      <c r="R96" s="175">
        <f>E106+E122</f>
        <v>3.2660714285714287</v>
      </c>
      <c r="S96" s="211">
        <f>R96/S92</f>
        <v>0.80880155446645008</v>
      </c>
      <c r="T96" s="288"/>
      <c r="U96" s="289"/>
    </row>
    <row r="97" spans="2:19" x14ac:dyDescent="0.25">
      <c r="B97" s="146" t="str">
        <f t="shared" si="6"/>
        <v>Solvent Less</v>
      </c>
      <c r="C97" s="153">
        <v>320</v>
      </c>
      <c r="D97" s="142">
        <f t="shared" si="7"/>
        <v>4</v>
      </c>
      <c r="E97" s="147">
        <f t="shared" si="8"/>
        <v>1280</v>
      </c>
      <c r="F97" s="163">
        <f t="shared" si="9"/>
        <v>3.9844357976653699E-2</v>
      </c>
      <c r="L97" s="43"/>
      <c r="P97" s="222"/>
      <c r="Q97" s="219" t="s">
        <v>156</v>
      </c>
      <c r="R97" s="217">
        <f>S92-R95</f>
        <v>0.95945647790771416</v>
      </c>
      <c r="S97" s="218">
        <f>R97/S92</f>
        <v>0.23759734217266923</v>
      </c>
    </row>
    <row r="98" spans="2:19" x14ac:dyDescent="0.25">
      <c r="B98" s="146" t="str">
        <f t="shared" si="6"/>
        <v>LDPE Transparent</v>
      </c>
      <c r="C98" s="153">
        <v>2500</v>
      </c>
      <c r="D98" s="142">
        <f t="shared" si="7"/>
        <v>1.2</v>
      </c>
      <c r="E98" s="147">
        <f t="shared" si="8"/>
        <v>3000</v>
      </c>
      <c r="F98" s="163">
        <f t="shared" si="9"/>
        <v>9.3385214007782102E-2</v>
      </c>
      <c r="I98" s="3"/>
      <c r="P98" s="222"/>
      <c r="Q98" s="212" t="s">
        <v>157</v>
      </c>
      <c r="R98" s="175">
        <f>S92-R96</f>
        <v>0.77209023238876773</v>
      </c>
      <c r="S98" s="211">
        <f>R98/S92</f>
        <v>0.19119844553354995</v>
      </c>
    </row>
    <row r="99" spans="2:19" x14ac:dyDescent="0.25">
      <c r="B99" s="146" t="str">
        <f t="shared" si="6"/>
        <v/>
      </c>
      <c r="C99" s="153"/>
      <c r="D99" s="142" t="str">
        <f t="shared" si="7"/>
        <v/>
      </c>
      <c r="E99" s="147" t="str">
        <f t="shared" si="8"/>
        <v/>
      </c>
      <c r="F99" s="163" t="str">
        <f t="shared" si="9"/>
        <v/>
      </c>
      <c r="I99" s="3"/>
      <c r="P99" s="222"/>
    </row>
    <row r="100" spans="2:19" x14ac:dyDescent="0.25">
      <c r="B100" s="146" t="str">
        <f t="shared" si="6"/>
        <v/>
      </c>
      <c r="C100" s="153"/>
      <c r="D100" s="142" t="str">
        <f t="shared" si="7"/>
        <v/>
      </c>
      <c r="E100" s="147" t="str">
        <f t="shared" si="8"/>
        <v/>
      </c>
      <c r="F100" s="163" t="str">
        <f t="shared" si="9"/>
        <v/>
      </c>
      <c r="P100" s="222"/>
    </row>
    <row r="101" spans="2:19" x14ac:dyDescent="0.25">
      <c r="B101" s="146" t="str">
        <f t="shared" si="6"/>
        <v/>
      </c>
      <c r="C101" s="153"/>
      <c r="D101" s="142" t="str">
        <f t="shared" si="7"/>
        <v/>
      </c>
      <c r="E101" s="147" t="str">
        <f t="shared" si="8"/>
        <v/>
      </c>
      <c r="F101" s="163" t="str">
        <f t="shared" si="9"/>
        <v/>
      </c>
      <c r="P101" s="222"/>
    </row>
    <row r="102" spans="2:19" x14ac:dyDescent="0.25">
      <c r="B102" s="146" t="str">
        <f t="shared" si="6"/>
        <v/>
      </c>
      <c r="C102" s="153"/>
      <c r="D102" s="142" t="str">
        <f t="shared" si="7"/>
        <v/>
      </c>
      <c r="E102" s="147" t="str">
        <f t="shared" si="8"/>
        <v/>
      </c>
      <c r="F102" s="163" t="str">
        <f t="shared" si="9"/>
        <v/>
      </c>
      <c r="P102" s="222"/>
    </row>
    <row r="103" spans="2:19" x14ac:dyDescent="0.25">
      <c r="B103" s="146" t="str">
        <f t="shared" si="6"/>
        <v/>
      </c>
      <c r="C103" s="153"/>
      <c r="D103" s="142" t="str">
        <f t="shared" si="7"/>
        <v/>
      </c>
      <c r="E103" s="147" t="str">
        <f t="shared" si="8"/>
        <v/>
      </c>
      <c r="F103" s="163" t="str">
        <f t="shared" si="9"/>
        <v/>
      </c>
      <c r="P103" s="222"/>
    </row>
    <row r="104" spans="2:19" ht="15.75" thickBot="1" x14ac:dyDescent="0.3">
      <c r="B104" s="148" t="s">
        <v>139</v>
      </c>
      <c r="C104" s="154">
        <v>1500</v>
      </c>
      <c r="D104" s="151">
        <f>G33</f>
        <v>1.5</v>
      </c>
      <c r="E104" s="149">
        <f t="shared" si="8"/>
        <v>2250</v>
      </c>
      <c r="F104" s="163">
        <f t="shared" si="9"/>
        <v>7.0038910505836577E-2</v>
      </c>
      <c r="P104" s="222"/>
    </row>
    <row r="105" spans="2:19" x14ac:dyDescent="0.25">
      <c r="B105" s="41"/>
      <c r="E105" s="141">
        <f>SUM(E91:E104)</f>
        <v>32125</v>
      </c>
      <c r="P105" s="222"/>
    </row>
    <row r="106" spans="2:19" x14ac:dyDescent="0.25">
      <c r="B106" s="41"/>
      <c r="D106" s="87" t="s">
        <v>141</v>
      </c>
      <c r="E106" s="140">
        <f>E105/C85</f>
        <v>2.2946428571428572</v>
      </c>
      <c r="P106" s="222"/>
    </row>
    <row r="107" spans="2:19" x14ac:dyDescent="0.25">
      <c r="B107" s="41"/>
      <c r="D107" s="87" t="s">
        <v>142</v>
      </c>
      <c r="E107" s="159">
        <f>(E106-C75)/C75</f>
        <v>4.3879134112005988E-2</v>
      </c>
      <c r="P107" s="222"/>
    </row>
    <row r="108" spans="2:19" x14ac:dyDescent="0.25">
      <c r="B108" s="41"/>
      <c r="P108" s="222"/>
    </row>
    <row r="109" spans="2:19" ht="15.75" thickBot="1" x14ac:dyDescent="0.3">
      <c r="B109" s="41"/>
      <c r="E109" s="4"/>
      <c r="P109" s="222"/>
    </row>
    <row r="110" spans="2:19" ht="30.75" thickBot="1" x14ac:dyDescent="0.3">
      <c r="B110" s="155" t="s">
        <v>143</v>
      </c>
      <c r="C110" s="155" t="s">
        <v>144</v>
      </c>
      <c r="D110" s="155" t="s">
        <v>96</v>
      </c>
      <c r="E110" s="157" t="s">
        <v>140</v>
      </c>
      <c r="F110" s="164" t="s">
        <v>149</v>
      </c>
      <c r="P110" s="222"/>
    </row>
    <row r="111" spans="2:19" x14ac:dyDescent="0.25">
      <c r="B111" s="143" t="str">
        <f t="shared" ref="B111:B120" si="10">IF(A60=TRUE, B60, "")</f>
        <v>Extrusion</v>
      </c>
      <c r="C111" s="116">
        <v>17</v>
      </c>
      <c r="D111" s="158">
        <f t="shared" ref="D111:D120" si="11">IF(B111&lt;&gt;"", F60, "")</f>
        <v>300</v>
      </c>
      <c r="E111" s="145">
        <f>IFERROR(D111*C111,"")</f>
        <v>5100</v>
      </c>
      <c r="F111" s="163">
        <f>IFERROR(E111/$E$121,"")</f>
        <v>0.375</v>
      </c>
      <c r="P111" s="222"/>
    </row>
    <row r="112" spans="2:19" x14ac:dyDescent="0.25">
      <c r="B112" s="146" t="str">
        <f t="shared" si="10"/>
        <v>Printing</v>
      </c>
      <c r="C112" s="112">
        <v>8</v>
      </c>
      <c r="D112" s="160">
        <f t="shared" si="11"/>
        <v>300</v>
      </c>
      <c r="E112" s="147">
        <f t="shared" ref="E112:E120" si="12">IFERROR(D112*C112,"")</f>
        <v>2400</v>
      </c>
      <c r="F112" s="163">
        <f t="shared" ref="F112:F120" si="13">IFERROR(E112/$E$121,"")</f>
        <v>0.17647058823529413</v>
      </c>
      <c r="P112" s="222"/>
    </row>
    <row r="113" spans="2:16" x14ac:dyDescent="0.25">
      <c r="B113" s="146" t="str">
        <f t="shared" si="10"/>
        <v>Rewinding</v>
      </c>
      <c r="C113" s="112">
        <v>3</v>
      </c>
      <c r="D113" s="160">
        <f t="shared" si="11"/>
        <v>50</v>
      </c>
      <c r="E113" s="147">
        <f t="shared" si="12"/>
        <v>150</v>
      </c>
      <c r="F113" s="163">
        <f t="shared" si="13"/>
        <v>1.1029411764705883E-2</v>
      </c>
      <c r="P113" s="222"/>
    </row>
    <row r="114" spans="2:16" x14ac:dyDescent="0.25">
      <c r="B114" s="146" t="str">
        <f t="shared" si="10"/>
        <v>Lamination 1</v>
      </c>
      <c r="C114" s="112">
        <v>8</v>
      </c>
      <c r="D114" s="160">
        <f t="shared" si="11"/>
        <v>100</v>
      </c>
      <c r="E114" s="147">
        <f t="shared" si="12"/>
        <v>800</v>
      </c>
      <c r="F114" s="163">
        <f t="shared" si="13"/>
        <v>5.8823529411764705E-2</v>
      </c>
      <c r="P114" s="222"/>
    </row>
    <row r="115" spans="2:16" x14ac:dyDescent="0.25">
      <c r="B115" s="146" t="str">
        <f t="shared" si="10"/>
        <v>Lamination 2</v>
      </c>
      <c r="C115" s="112">
        <v>5</v>
      </c>
      <c r="D115" s="160">
        <f t="shared" si="11"/>
        <v>100</v>
      </c>
      <c r="E115" s="147">
        <f t="shared" si="12"/>
        <v>500</v>
      </c>
      <c r="F115" s="163">
        <f t="shared" si="13"/>
        <v>3.6764705882352942E-2</v>
      </c>
      <c r="P115" s="222"/>
    </row>
    <row r="116" spans="2:16" x14ac:dyDescent="0.25">
      <c r="B116" s="146" t="str">
        <f t="shared" si="10"/>
        <v>Lamination 3</v>
      </c>
      <c r="C116" s="112">
        <v>5</v>
      </c>
      <c r="D116" s="160">
        <f t="shared" si="11"/>
        <v>100</v>
      </c>
      <c r="E116" s="147">
        <f t="shared" si="12"/>
        <v>500</v>
      </c>
      <c r="F116" s="163">
        <f t="shared" si="13"/>
        <v>3.6764705882352942E-2</v>
      </c>
      <c r="P116" s="222"/>
    </row>
    <row r="117" spans="2:16" x14ac:dyDescent="0.25">
      <c r="B117" s="146" t="str">
        <f t="shared" si="10"/>
        <v>Slitting</v>
      </c>
      <c r="C117" s="112">
        <v>3</v>
      </c>
      <c r="D117" s="160">
        <f t="shared" si="11"/>
        <v>50</v>
      </c>
      <c r="E117" s="147">
        <f t="shared" si="12"/>
        <v>150</v>
      </c>
      <c r="F117" s="163">
        <f t="shared" si="13"/>
        <v>1.1029411764705883E-2</v>
      </c>
      <c r="P117" s="222"/>
    </row>
    <row r="118" spans="2:16" x14ac:dyDescent="0.25">
      <c r="B118" s="146" t="str">
        <f t="shared" si="10"/>
        <v/>
      </c>
      <c r="C118" s="112"/>
      <c r="D118" s="160" t="str">
        <f t="shared" si="11"/>
        <v/>
      </c>
      <c r="E118" s="147" t="str">
        <f t="shared" si="12"/>
        <v/>
      </c>
      <c r="F118" s="163" t="str">
        <f t="shared" si="13"/>
        <v/>
      </c>
      <c r="P118" s="222"/>
    </row>
    <row r="119" spans="2:16" x14ac:dyDescent="0.25">
      <c r="B119" s="146" t="str">
        <f t="shared" si="10"/>
        <v/>
      </c>
      <c r="C119" s="112"/>
      <c r="D119" s="160" t="str">
        <f t="shared" si="11"/>
        <v/>
      </c>
      <c r="E119" s="147" t="str">
        <f t="shared" si="12"/>
        <v/>
      </c>
      <c r="F119" s="163" t="str">
        <f t="shared" si="13"/>
        <v/>
      </c>
      <c r="P119" s="222"/>
    </row>
    <row r="120" spans="2:16" ht="15.75" thickBot="1" x14ac:dyDescent="0.3">
      <c r="B120" s="148" t="str">
        <f t="shared" si="10"/>
        <v>Pouch Making</v>
      </c>
      <c r="C120" s="121">
        <v>40</v>
      </c>
      <c r="D120" s="161">
        <f t="shared" si="11"/>
        <v>100</v>
      </c>
      <c r="E120" s="149">
        <f t="shared" si="12"/>
        <v>4000</v>
      </c>
      <c r="F120" s="163">
        <f t="shared" si="13"/>
        <v>0.29411764705882354</v>
      </c>
      <c r="P120" s="222"/>
    </row>
    <row r="121" spans="2:16" x14ac:dyDescent="0.25">
      <c r="B121" s="41"/>
      <c r="E121" s="141">
        <f>SUM(E111:E120)</f>
        <v>13600</v>
      </c>
      <c r="P121" s="222"/>
    </row>
    <row r="122" spans="2:16" x14ac:dyDescent="0.25">
      <c r="B122" s="290" t="s">
        <v>145</v>
      </c>
      <c r="C122" s="290"/>
      <c r="D122" s="290"/>
      <c r="E122" s="140">
        <f>E121/C85</f>
        <v>0.97142857142857142</v>
      </c>
      <c r="P122" s="222"/>
    </row>
    <row r="123" spans="2:16" x14ac:dyDescent="0.25">
      <c r="B123" s="290" t="s">
        <v>142</v>
      </c>
      <c r="C123" s="290"/>
      <c r="D123" s="290"/>
      <c r="E123" s="159">
        <f>(E122-H70)/H70</f>
        <v>0.10324804175431759</v>
      </c>
      <c r="P123" s="222"/>
    </row>
    <row r="124" spans="2:16" x14ac:dyDescent="0.25">
      <c r="P124" s="222"/>
    </row>
    <row r="125" spans="2:16" x14ac:dyDescent="0.25">
      <c r="P125" s="222"/>
    </row>
    <row r="126" spans="2:16" x14ac:dyDescent="0.25">
      <c r="P126" s="222"/>
    </row>
    <row r="127" spans="2:16" x14ac:dyDescent="0.25">
      <c r="P127" s="222"/>
    </row>
    <row r="128" spans="2:16" x14ac:dyDescent="0.25">
      <c r="P128" s="222"/>
    </row>
    <row r="129" spans="16:16" x14ac:dyDescent="0.25">
      <c r="P129" s="222"/>
    </row>
    <row r="130" spans="16:16" x14ac:dyDescent="0.25">
      <c r="P130" s="222"/>
    </row>
  </sheetData>
  <mergeCells count="79">
    <mergeCell ref="B122:D122"/>
    <mergeCell ref="B123:D123"/>
    <mergeCell ref="B83:L83"/>
    <mergeCell ref="H87:I87"/>
    <mergeCell ref="K87:L87"/>
    <mergeCell ref="H88:I88"/>
    <mergeCell ref="K88:L88"/>
    <mergeCell ref="A5:B5"/>
    <mergeCell ref="C5:E5"/>
    <mergeCell ref="G5:H5"/>
    <mergeCell ref="I5:J5"/>
    <mergeCell ref="K5:L5"/>
    <mergeCell ref="A1:L1"/>
    <mergeCell ref="A3:B3"/>
    <mergeCell ref="C3:E3"/>
    <mergeCell ref="G3:H3"/>
    <mergeCell ref="I3:L3"/>
    <mergeCell ref="A9:C9"/>
    <mergeCell ref="A10:C10"/>
    <mergeCell ref="N10:O10"/>
    <mergeCell ref="P10:Q10"/>
    <mergeCell ref="A12:C12"/>
    <mergeCell ref="E12:G12"/>
    <mergeCell ref="I12:K12"/>
    <mergeCell ref="M12:O12"/>
    <mergeCell ref="A13:B13"/>
    <mergeCell ref="E13:F13"/>
    <mergeCell ref="I13:J13"/>
    <mergeCell ref="M13:N13"/>
    <mergeCell ref="A14:B14"/>
    <mergeCell ref="E14:F14"/>
    <mergeCell ref="I14:J14"/>
    <mergeCell ref="M14:N14"/>
    <mergeCell ref="A17:B17"/>
    <mergeCell ref="E17:F17"/>
    <mergeCell ref="M15:N15"/>
    <mergeCell ref="A16:B16"/>
    <mergeCell ref="I16:J16"/>
    <mergeCell ref="M16:N16"/>
    <mergeCell ref="A15:B15"/>
    <mergeCell ref="E15:F15"/>
    <mergeCell ref="M17:N17"/>
    <mergeCell ref="C36:D36"/>
    <mergeCell ref="F38:H38"/>
    <mergeCell ref="C37:D37"/>
    <mergeCell ref="F37:H37"/>
    <mergeCell ref="C38:D38"/>
    <mergeCell ref="C21:C23"/>
    <mergeCell ref="E21:E23"/>
    <mergeCell ref="F21:F23"/>
    <mergeCell ref="A33:D33"/>
    <mergeCell ref="C35:D35"/>
    <mergeCell ref="F35:H35"/>
    <mergeCell ref="M18:N18"/>
    <mergeCell ref="M19:N20"/>
    <mergeCell ref="F36:H36"/>
    <mergeCell ref="G21:G23"/>
    <mergeCell ref="H21:H23"/>
    <mergeCell ref="C39:D39"/>
    <mergeCell ref="A44:C44"/>
    <mergeCell ref="A46:C46"/>
    <mergeCell ref="A53:C53"/>
    <mergeCell ref="A47:C47"/>
    <mergeCell ref="A48:C48"/>
    <mergeCell ref="A49:C49"/>
    <mergeCell ref="A50:C50"/>
    <mergeCell ref="Q92:R92"/>
    <mergeCell ref="T94:U94"/>
    <mergeCell ref="T95:T96"/>
    <mergeCell ref="U95:U96"/>
    <mergeCell ref="A52:C52"/>
    <mergeCell ref="H60:H69"/>
    <mergeCell ref="H82:J82"/>
    <mergeCell ref="B73:B74"/>
    <mergeCell ref="C73:C74"/>
    <mergeCell ref="E73:E74"/>
    <mergeCell ref="F73:F74"/>
    <mergeCell ref="G73:G74"/>
    <mergeCell ref="H73:H74"/>
  </mergeCells>
  <dataValidations count="3">
    <dataValidation type="list" allowBlank="1" showInputMessage="1" showErrorMessage="1" sqref="B25:B32" xr:uid="{2AFEC1F7-42E6-4A1F-B5F3-709469322160}">
      <formula1>INDIRECT($A25)</formula1>
    </dataValidation>
    <dataValidation type="list" allowBlank="1" showInputMessage="1" showErrorMessage="1" sqref="A25:A32" xr:uid="{632A5EBA-54C9-4D64-8721-BB07BD02A9C5}">
      <formula1>Type</formula1>
    </dataValidation>
    <dataValidation type="list" allowBlank="1" showInputMessage="1" showErrorMessage="1" sqref="K5" xr:uid="{E9BBB457-601E-454D-B12E-4F4EC3D4F837}">
      <formula1>Unit</formula1>
    </dataValidation>
  </dataValidations>
  <pageMargins left="0.11811023622047245" right="0.11811023622047245" top="0.31496062992125984" bottom="0.19685039370078741" header="0.31496062992125984" footer="0.31496062992125984"/>
  <pageSetup paperSize="9" scale="50" orientation="portrait" r:id="rId1"/>
  <colBreaks count="1" manualBreakCount="1">
    <brk id="15" max="104" man="1"/>
  </colBreak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2A2783-CFCB-4E2B-BAB5-38AEADF23B09}">
          <x14:formula1>
            <xm:f>Data!$K$2:$K$4</xm:f>
          </x14:formula1>
          <xm:sqref>C5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76A7-A503-4EE5-BF05-536BED17384A}">
  <dimension ref="B1:Q12"/>
  <sheetViews>
    <sheetView topLeftCell="B1" workbookViewId="0">
      <selection activeCell="M16" sqref="M16"/>
    </sheetView>
  </sheetViews>
  <sheetFormatPr defaultRowHeight="15" x14ac:dyDescent="0.25"/>
  <cols>
    <col min="3" max="3" width="15.7109375" customWidth="1"/>
    <col min="4" max="4" width="22.7109375" bestFit="1" customWidth="1"/>
    <col min="5" max="5" width="10.85546875" bestFit="1" customWidth="1"/>
    <col min="7" max="15" width="15.7109375" customWidth="1"/>
    <col min="16" max="16" width="17.85546875" bestFit="1" customWidth="1"/>
    <col min="17" max="18" width="15.7109375" customWidth="1"/>
  </cols>
  <sheetData>
    <row r="1" spans="2:17" x14ac:dyDescent="0.25">
      <c r="G1" s="366" t="s">
        <v>208</v>
      </c>
      <c r="H1" s="366"/>
      <c r="I1" s="366"/>
      <c r="J1" s="366"/>
      <c r="K1" s="366" t="s">
        <v>207</v>
      </c>
      <c r="L1" s="366"/>
      <c r="M1" s="366"/>
      <c r="N1" s="172"/>
    </row>
    <row r="2" spans="2:17" x14ac:dyDescent="0.25">
      <c r="B2" t="s">
        <v>175</v>
      </c>
      <c r="C2" s="19" t="s">
        <v>194</v>
      </c>
      <c r="D2" s="227" t="s">
        <v>176</v>
      </c>
      <c r="E2" t="s">
        <v>177</v>
      </c>
      <c r="G2" s="228" t="s">
        <v>201</v>
      </c>
      <c r="H2" s="228" t="s">
        <v>202</v>
      </c>
      <c r="I2" s="228" t="s">
        <v>219</v>
      </c>
      <c r="J2" s="228" t="s">
        <v>195</v>
      </c>
      <c r="K2" s="228" t="s">
        <v>164</v>
      </c>
      <c r="L2" s="228" t="s">
        <v>192</v>
      </c>
      <c r="M2" s="228" t="s">
        <v>193</v>
      </c>
      <c r="N2" s="228" t="s">
        <v>194</v>
      </c>
    </row>
    <row r="5" spans="2:17" ht="30" x14ac:dyDescent="0.25">
      <c r="B5" t="s">
        <v>175</v>
      </c>
      <c r="C5" t="s">
        <v>205</v>
      </c>
      <c r="D5" s="227" t="s">
        <v>215</v>
      </c>
      <c r="E5" t="s">
        <v>177</v>
      </c>
      <c r="G5" s="228" t="s">
        <v>201</v>
      </c>
      <c r="H5" s="228" t="s">
        <v>202</v>
      </c>
      <c r="I5" s="228" t="s">
        <v>219</v>
      </c>
      <c r="J5" s="228" t="s">
        <v>195</v>
      </c>
      <c r="K5" s="228" t="s">
        <v>164</v>
      </c>
      <c r="L5" s="228" t="s">
        <v>192</v>
      </c>
      <c r="M5" s="228" t="s">
        <v>193</v>
      </c>
      <c r="N5" s="228" t="s">
        <v>206</v>
      </c>
      <c r="O5" s="19"/>
      <c r="P5" s="19"/>
    </row>
    <row r="6" spans="2:17" x14ac:dyDescent="0.25">
      <c r="N6" s="2" t="s">
        <v>203</v>
      </c>
      <c r="O6" s="2" t="s">
        <v>204</v>
      </c>
      <c r="P6" s="2" t="s">
        <v>214</v>
      </c>
    </row>
    <row r="7" spans="2:17" x14ac:dyDescent="0.25">
      <c r="N7" t="s">
        <v>209</v>
      </c>
      <c r="O7" s="19" t="s">
        <v>196</v>
      </c>
      <c r="P7" s="19" t="s">
        <v>201</v>
      </c>
      <c r="Q7" s="367" t="s">
        <v>218</v>
      </c>
    </row>
    <row r="8" spans="2:17" x14ac:dyDescent="0.25">
      <c r="N8" t="s">
        <v>210</v>
      </c>
      <c r="O8" t="s">
        <v>199</v>
      </c>
      <c r="P8" s="19" t="s">
        <v>202</v>
      </c>
      <c r="Q8" s="367"/>
    </row>
    <row r="9" spans="2:17" x14ac:dyDescent="0.25">
      <c r="N9" t="s">
        <v>211</v>
      </c>
      <c r="O9" t="s">
        <v>200</v>
      </c>
      <c r="P9" s="19" t="s">
        <v>195</v>
      </c>
      <c r="Q9" s="367"/>
    </row>
    <row r="10" spans="2:17" x14ac:dyDescent="0.25">
      <c r="N10" t="s">
        <v>212</v>
      </c>
      <c r="O10" t="s">
        <v>197</v>
      </c>
      <c r="P10" s="19" t="s">
        <v>164</v>
      </c>
      <c r="Q10" s="367"/>
    </row>
    <row r="11" spans="2:17" x14ac:dyDescent="0.25">
      <c r="N11" t="s">
        <v>213</v>
      </c>
      <c r="O11" t="s">
        <v>198</v>
      </c>
      <c r="P11" s="19" t="s">
        <v>192</v>
      </c>
      <c r="Q11" s="367"/>
    </row>
    <row r="12" spans="2:17" x14ac:dyDescent="0.25">
      <c r="N12" t="s">
        <v>217</v>
      </c>
      <c r="O12" t="s">
        <v>216</v>
      </c>
      <c r="P12" s="19" t="s">
        <v>193</v>
      </c>
      <c r="Q12" s="367"/>
    </row>
  </sheetData>
  <sortState xmlns:xlrd2="http://schemas.microsoft.com/office/spreadsheetml/2017/richdata2" ref="O8:O11">
    <sortCondition ref="O7:O11"/>
  </sortState>
  <mergeCells count="3">
    <mergeCell ref="G1:J1"/>
    <mergeCell ref="K1:M1"/>
    <mergeCell ref="Q7:Q12"/>
  </mergeCells>
  <phoneticPr fontId="23" type="noConversion"/>
  <hyperlinks>
    <hyperlink ref="D2" r:id="rId1" xr:uid="{79AD4BB1-B2DA-45D6-B542-5A72885EF3CB}"/>
    <hyperlink ref="D5" r:id="rId2" xr:uid="{85007E5C-8D88-4F9B-98A6-A610D240EEE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5018-3274-429A-BC96-6832248D126F}">
  <dimension ref="A1:O24"/>
  <sheetViews>
    <sheetView workbookViewId="0">
      <selection activeCell="B11" sqref="B11"/>
    </sheetView>
  </sheetViews>
  <sheetFormatPr defaultRowHeight="15" x14ac:dyDescent="0.25"/>
  <cols>
    <col min="1" max="1" width="12.5703125" bestFit="1" customWidth="1"/>
    <col min="7" max="7" width="15.7109375" bestFit="1" customWidth="1"/>
    <col min="9" max="9" width="23.28515625" customWidth="1"/>
    <col min="10" max="10" width="9.28515625" bestFit="1" customWidth="1"/>
    <col min="11" max="12" width="7.7109375" bestFit="1" customWidth="1"/>
    <col min="13" max="13" width="9" bestFit="1" customWidth="1"/>
    <col min="14" max="14" width="14" bestFit="1" customWidth="1"/>
    <col min="15" max="15" width="10.28515625" bestFit="1" customWidth="1"/>
  </cols>
  <sheetData>
    <row r="1" spans="1:15" ht="28.5" x14ac:dyDescent="0.25">
      <c r="I1" s="233" t="s">
        <v>12</v>
      </c>
      <c r="J1" s="233" t="s">
        <v>11</v>
      </c>
      <c r="K1" s="233" t="s">
        <v>220</v>
      </c>
      <c r="L1" s="233" t="s">
        <v>14</v>
      </c>
      <c r="M1" s="233" t="s">
        <v>221</v>
      </c>
      <c r="N1" s="233" t="s">
        <v>222</v>
      </c>
      <c r="O1" s="233" t="s">
        <v>223</v>
      </c>
    </row>
    <row r="2" spans="1:15" ht="28.5" x14ac:dyDescent="0.25">
      <c r="I2" s="234" t="s">
        <v>124</v>
      </c>
      <c r="J2" s="235" t="s">
        <v>224</v>
      </c>
      <c r="K2" s="236">
        <v>100</v>
      </c>
      <c r="L2" s="236">
        <v>2.7</v>
      </c>
      <c r="M2" s="236">
        <v>5</v>
      </c>
      <c r="N2" s="237" t="s">
        <v>225</v>
      </c>
      <c r="O2" s="238" t="s">
        <v>226</v>
      </c>
    </row>
    <row r="3" spans="1:15" ht="28.5" x14ac:dyDescent="0.25">
      <c r="I3" s="234" t="s">
        <v>116</v>
      </c>
      <c r="J3" s="235" t="s">
        <v>224</v>
      </c>
      <c r="K3" s="236">
        <v>100</v>
      </c>
      <c r="L3" s="236">
        <v>0.91</v>
      </c>
      <c r="M3" s="236">
        <v>5</v>
      </c>
      <c r="N3" s="237" t="s">
        <v>225</v>
      </c>
      <c r="O3" s="238" t="s">
        <v>226</v>
      </c>
    </row>
    <row r="4" spans="1:15" ht="28.5" x14ac:dyDescent="0.25">
      <c r="I4" s="234" t="s">
        <v>115</v>
      </c>
      <c r="J4" s="235" t="s">
        <v>224</v>
      </c>
      <c r="K4" s="236">
        <v>100</v>
      </c>
      <c r="L4" s="236">
        <v>0.91</v>
      </c>
      <c r="M4" s="236">
        <v>5</v>
      </c>
      <c r="N4" s="237" t="s">
        <v>225</v>
      </c>
      <c r="O4" s="238" t="s">
        <v>226</v>
      </c>
    </row>
    <row r="5" spans="1:15" ht="28.5" x14ac:dyDescent="0.25">
      <c r="A5" s="7" t="s">
        <v>229</v>
      </c>
      <c r="B5" s="239">
        <v>0.91</v>
      </c>
      <c r="I5" s="234" t="s">
        <v>227</v>
      </c>
      <c r="J5" s="235" t="s">
        <v>224</v>
      </c>
      <c r="K5" s="236">
        <v>100</v>
      </c>
      <c r="L5" s="236">
        <v>0.95</v>
      </c>
      <c r="M5" s="236">
        <v>5</v>
      </c>
      <c r="N5" s="237" t="s">
        <v>225</v>
      </c>
      <c r="O5" s="238" t="s">
        <v>226</v>
      </c>
    </row>
    <row r="6" spans="1:15" x14ac:dyDescent="0.25">
      <c r="A6" t="s">
        <v>230</v>
      </c>
      <c r="B6" s="240">
        <v>1.4</v>
      </c>
      <c r="G6" s="231" t="s">
        <v>124</v>
      </c>
      <c r="I6" s="234" t="s">
        <v>20</v>
      </c>
      <c r="J6" s="235"/>
      <c r="K6" s="236"/>
      <c r="L6" s="236"/>
      <c r="M6" s="236"/>
      <c r="N6" s="237"/>
      <c r="O6" s="238"/>
    </row>
    <row r="7" spans="1:15" ht="28.5" x14ac:dyDescent="0.25">
      <c r="A7" s="7" t="s">
        <v>231</v>
      </c>
      <c r="B7" s="239">
        <v>0.91</v>
      </c>
      <c r="G7" s="231" t="s">
        <v>114</v>
      </c>
      <c r="I7" s="234" t="s">
        <v>228</v>
      </c>
      <c r="J7" s="235" t="s">
        <v>224</v>
      </c>
      <c r="K7" s="236">
        <v>100</v>
      </c>
      <c r="L7" s="236">
        <v>0.92</v>
      </c>
      <c r="M7" s="236">
        <v>5</v>
      </c>
      <c r="N7" s="237" t="s">
        <v>225</v>
      </c>
      <c r="O7" s="238" t="s">
        <v>226</v>
      </c>
    </row>
    <row r="8" spans="1:15" ht="28.5" x14ac:dyDescent="0.25">
      <c r="A8" t="s">
        <v>232</v>
      </c>
      <c r="B8" s="240">
        <v>2.7</v>
      </c>
      <c r="G8" s="231" t="s">
        <v>115</v>
      </c>
      <c r="I8" s="234" t="s">
        <v>120</v>
      </c>
      <c r="J8" s="235" t="s">
        <v>224</v>
      </c>
      <c r="K8" s="236">
        <v>100</v>
      </c>
      <c r="L8" s="236">
        <v>0.92</v>
      </c>
      <c r="M8" s="236">
        <v>5</v>
      </c>
      <c r="N8" s="237" t="s">
        <v>225</v>
      </c>
      <c r="O8" s="238" t="s">
        <v>226</v>
      </c>
    </row>
    <row r="9" spans="1:15" ht="28.5" x14ac:dyDescent="0.25">
      <c r="A9" s="7" t="s">
        <v>233</v>
      </c>
      <c r="B9" s="239">
        <v>0.92</v>
      </c>
      <c r="G9" s="231" t="s">
        <v>116</v>
      </c>
      <c r="I9" s="234" t="s">
        <v>114</v>
      </c>
      <c r="J9" s="235" t="s">
        <v>224</v>
      </c>
      <c r="K9" s="236">
        <v>100</v>
      </c>
      <c r="L9" s="236">
        <v>1.1399999999999999</v>
      </c>
      <c r="M9" s="236">
        <v>5</v>
      </c>
      <c r="N9" s="237" t="s">
        <v>225</v>
      </c>
      <c r="O9" s="238" t="s">
        <v>226</v>
      </c>
    </row>
    <row r="10" spans="1:15" ht="28.5" x14ac:dyDescent="0.25">
      <c r="A10" t="s">
        <v>234</v>
      </c>
      <c r="B10" s="240">
        <v>0.93</v>
      </c>
      <c r="G10" s="231" t="s">
        <v>118</v>
      </c>
      <c r="I10" s="234" t="s">
        <v>241</v>
      </c>
      <c r="J10" s="235" t="s">
        <v>224</v>
      </c>
      <c r="K10" s="236">
        <v>100</v>
      </c>
      <c r="L10" s="236">
        <v>1</v>
      </c>
      <c r="M10" s="236">
        <v>8</v>
      </c>
      <c r="N10" s="237" t="s">
        <v>225</v>
      </c>
      <c r="O10" s="238" t="s">
        <v>226</v>
      </c>
    </row>
    <row r="11" spans="1:15" ht="28.5" x14ac:dyDescent="0.25">
      <c r="A11" s="7" t="s">
        <v>235</v>
      </c>
      <c r="B11" s="239">
        <v>1.24</v>
      </c>
      <c r="G11" s="231" t="s">
        <v>117</v>
      </c>
      <c r="I11" s="234" t="s">
        <v>122</v>
      </c>
      <c r="J11" s="235" t="s">
        <v>224</v>
      </c>
      <c r="K11" s="236">
        <v>100</v>
      </c>
      <c r="L11" s="236">
        <v>1.38</v>
      </c>
      <c r="M11" s="236">
        <v>5</v>
      </c>
      <c r="N11" s="237" t="s">
        <v>225</v>
      </c>
      <c r="O11" s="238" t="s">
        <v>226</v>
      </c>
    </row>
    <row r="12" spans="1:15" ht="28.5" x14ac:dyDescent="0.25">
      <c r="A12" t="s">
        <v>236</v>
      </c>
      <c r="B12" s="240">
        <v>0.92</v>
      </c>
      <c r="G12" s="231" t="s">
        <v>123</v>
      </c>
      <c r="I12" s="234" t="s">
        <v>121</v>
      </c>
      <c r="J12" s="235" t="s">
        <v>224</v>
      </c>
      <c r="K12" s="236">
        <v>100</v>
      </c>
      <c r="L12" s="236">
        <v>1.38</v>
      </c>
      <c r="M12" s="236">
        <v>5</v>
      </c>
      <c r="N12" s="237" t="s">
        <v>225</v>
      </c>
      <c r="O12" s="238" t="s">
        <v>226</v>
      </c>
    </row>
    <row r="13" spans="1:15" x14ac:dyDescent="0.25">
      <c r="A13" s="7" t="s">
        <v>237</v>
      </c>
      <c r="B13" s="239">
        <v>1</v>
      </c>
      <c r="G13" s="229" t="s">
        <v>20</v>
      </c>
      <c r="I13" s="234" t="s">
        <v>242</v>
      </c>
    </row>
    <row r="14" spans="1:15" x14ac:dyDescent="0.25">
      <c r="A14" t="s">
        <v>238</v>
      </c>
      <c r="B14" s="240">
        <v>1</v>
      </c>
      <c r="G14" s="231" t="s">
        <v>119</v>
      </c>
      <c r="I14" s="234" t="s">
        <v>243</v>
      </c>
    </row>
    <row r="15" spans="1:15" x14ac:dyDescent="0.25">
      <c r="A15" s="7" t="s">
        <v>239</v>
      </c>
      <c r="B15" s="239">
        <v>1</v>
      </c>
      <c r="G15" s="231" t="s">
        <v>120</v>
      </c>
      <c r="I15" s="231" t="s">
        <v>118</v>
      </c>
    </row>
    <row r="16" spans="1:15" x14ac:dyDescent="0.25">
      <c r="A16" s="241" t="s">
        <v>240</v>
      </c>
      <c r="B16" s="242">
        <v>1</v>
      </c>
      <c r="G16" s="230" t="s">
        <v>21</v>
      </c>
      <c r="I16" s="231" t="s">
        <v>117</v>
      </c>
    </row>
    <row r="17" spans="7:9" x14ac:dyDescent="0.25">
      <c r="G17" s="231" t="s">
        <v>121</v>
      </c>
      <c r="I17" s="234" t="s">
        <v>244</v>
      </c>
    </row>
    <row r="18" spans="7:9" x14ac:dyDescent="0.25">
      <c r="G18" s="231" t="s">
        <v>122</v>
      </c>
      <c r="I18" s="234" t="s">
        <v>245</v>
      </c>
    </row>
    <row r="19" spans="7:9" x14ac:dyDescent="0.25">
      <c r="G19" s="229" t="s">
        <v>22</v>
      </c>
      <c r="I19" s="229" t="s">
        <v>22</v>
      </c>
    </row>
    <row r="20" spans="7:9" x14ac:dyDescent="0.25">
      <c r="G20" s="230" t="s">
        <v>23</v>
      </c>
      <c r="I20" s="230" t="s">
        <v>23</v>
      </c>
    </row>
    <row r="21" spans="7:9" x14ac:dyDescent="0.25">
      <c r="G21" s="231" t="s">
        <v>111</v>
      </c>
      <c r="I21" s="7" t="s">
        <v>246</v>
      </c>
    </row>
    <row r="22" spans="7:9" x14ac:dyDescent="0.25">
      <c r="G22" s="232" t="s">
        <v>110</v>
      </c>
      <c r="I22" s="7" t="s">
        <v>247</v>
      </c>
    </row>
    <row r="23" spans="7:9" x14ac:dyDescent="0.25">
      <c r="I23" t="s">
        <v>248</v>
      </c>
    </row>
    <row r="24" spans="7:9" x14ac:dyDescent="0.25">
      <c r="I24" t="s">
        <v>249</v>
      </c>
    </row>
  </sheetData>
  <sortState xmlns:xlrd2="http://schemas.microsoft.com/office/spreadsheetml/2017/richdata2" ref="I2:O12">
    <sortCondition ref="I2:I12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283A-876D-4B37-98A9-075713B589D3}">
  <sheetPr filterMode="1"/>
  <dimension ref="A2:E100"/>
  <sheetViews>
    <sheetView workbookViewId="0">
      <selection activeCell="A2" sqref="A2:E92"/>
    </sheetView>
  </sheetViews>
  <sheetFormatPr defaultRowHeight="15" x14ac:dyDescent="0.25"/>
  <cols>
    <col min="1" max="1" width="28.42578125" bestFit="1" customWidth="1"/>
    <col min="2" max="4" width="10.140625" bestFit="1" customWidth="1"/>
  </cols>
  <sheetData>
    <row r="2" spans="1:5" x14ac:dyDescent="0.25">
      <c r="A2" s="371" t="s">
        <v>365</v>
      </c>
      <c r="B2" s="372"/>
      <c r="C2" s="372"/>
      <c r="D2" s="372"/>
      <c r="E2" s="373">
        <f>AVERAGE(B9:D9)</f>
        <v>5.0027744175807163</v>
      </c>
    </row>
    <row r="3" spans="1:5" hidden="1" x14ac:dyDescent="0.25">
      <c r="A3" t="s">
        <v>2</v>
      </c>
      <c r="B3" s="38">
        <v>127360.23999999999</v>
      </c>
      <c r="C3" s="38">
        <v>133404.36999999988</v>
      </c>
      <c r="D3" s="38">
        <v>94706.780000000013</v>
      </c>
    </row>
    <row r="4" spans="1:5" hidden="1" x14ac:dyDescent="0.25">
      <c r="A4" t="s">
        <v>366</v>
      </c>
      <c r="B4" s="38">
        <v>1167020.8400000001</v>
      </c>
      <c r="C4" s="38">
        <v>1221971.1099999999</v>
      </c>
      <c r="D4" s="38">
        <v>928952.52</v>
      </c>
    </row>
    <row r="5" spans="1:5" hidden="1" x14ac:dyDescent="0.25">
      <c r="A5" t="s">
        <v>367</v>
      </c>
      <c r="B5" s="38">
        <v>571933.17039999994</v>
      </c>
      <c r="C5" s="38">
        <v>590417.51130000001</v>
      </c>
      <c r="D5" s="38">
        <v>398431.89780000015</v>
      </c>
    </row>
    <row r="6" spans="1:5" hidden="1" x14ac:dyDescent="0.25">
      <c r="A6" t="s">
        <v>368</v>
      </c>
      <c r="B6" s="38">
        <v>595087.66960000014</v>
      </c>
      <c r="C6" s="38">
        <v>631553.59870000032</v>
      </c>
      <c r="D6" s="38">
        <v>530520.62219999987</v>
      </c>
    </row>
    <row r="7" spans="1:5" hidden="1" x14ac:dyDescent="0.25">
      <c r="A7" t="s">
        <v>369</v>
      </c>
      <c r="B7" s="373">
        <v>9.1631488759757378</v>
      </c>
      <c r="C7" s="373">
        <v>9.1599031575952203</v>
      </c>
      <c r="D7" s="373">
        <v>9.8087224589411637</v>
      </c>
    </row>
    <row r="8" spans="1:5" hidden="1" x14ac:dyDescent="0.25">
      <c r="A8" t="s">
        <v>370</v>
      </c>
      <c r="B8" s="373">
        <v>4.4906728379280691</v>
      </c>
      <c r="C8" s="373">
        <v>4.4257733933303722</v>
      </c>
      <c r="D8" s="373">
        <v>4.2070050085115351</v>
      </c>
    </row>
    <row r="9" spans="1:5" hidden="1" x14ac:dyDescent="0.25">
      <c r="A9" t="s">
        <v>371</v>
      </c>
      <c r="B9" s="373">
        <v>4.6724760380476686</v>
      </c>
      <c r="C9" s="373">
        <v>4.7341297642648508</v>
      </c>
      <c r="D9" s="373">
        <v>5.6017174504296294</v>
      </c>
    </row>
    <row r="10" spans="1:5" hidden="1" x14ac:dyDescent="0.25">
      <c r="A10" t="s">
        <v>372</v>
      </c>
      <c r="B10" s="374">
        <v>0.50992034520994511</v>
      </c>
      <c r="C10" s="374">
        <v>0.51683185758786099</v>
      </c>
      <c r="D10" s="374">
        <v>0.57109551971504402</v>
      </c>
    </row>
    <row r="11" spans="1:5" x14ac:dyDescent="0.25">
      <c r="A11" s="371" t="s">
        <v>373</v>
      </c>
      <c r="B11" s="372"/>
      <c r="C11" s="372"/>
      <c r="D11" s="372"/>
      <c r="E11" s="373">
        <f>AVERAGE(B18:D18)</f>
        <v>5.6340752840663653</v>
      </c>
    </row>
    <row r="12" spans="1:5" hidden="1" x14ac:dyDescent="0.25">
      <c r="A12" t="s">
        <v>2</v>
      </c>
      <c r="B12" s="38">
        <v>187558.40000000002</v>
      </c>
      <c r="C12" s="38">
        <v>105947.93</v>
      </c>
      <c r="D12" s="38">
        <v>38077.919999999998</v>
      </c>
    </row>
    <row r="13" spans="1:5" hidden="1" x14ac:dyDescent="0.25">
      <c r="A13" t="s">
        <v>366</v>
      </c>
      <c r="B13" s="38">
        <v>1974513</v>
      </c>
      <c r="C13" s="38">
        <v>1184078.5</v>
      </c>
      <c r="D13" s="38">
        <v>436630.08</v>
      </c>
    </row>
    <row r="14" spans="1:5" hidden="1" x14ac:dyDescent="0.25">
      <c r="A14" t="s">
        <v>367</v>
      </c>
      <c r="B14" s="38">
        <v>976694.23600000015</v>
      </c>
      <c r="C14" s="38">
        <v>570032.23600000003</v>
      </c>
      <c r="D14" s="38">
        <v>216294.2334</v>
      </c>
    </row>
    <row r="15" spans="1:5" hidden="1" x14ac:dyDescent="0.25">
      <c r="A15" t="s">
        <v>368</v>
      </c>
      <c r="B15" s="38">
        <v>997818.76399999985</v>
      </c>
      <c r="C15" s="38">
        <v>614046.26400000008</v>
      </c>
      <c r="D15" s="38">
        <v>220335.84659999999</v>
      </c>
    </row>
    <row r="16" spans="1:5" hidden="1" x14ac:dyDescent="0.25">
      <c r="A16" t="s">
        <v>369</v>
      </c>
      <c r="B16" s="373">
        <v>10.527457048044768</v>
      </c>
      <c r="C16" s="373">
        <v>11.176041853767224</v>
      </c>
      <c r="D16" s="373">
        <v>11.466752385634511</v>
      </c>
    </row>
    <row r="17" spans="1:5" hidden="1" x14ac:dyDescent="0.25">
      <c r="A17" t="s">
        <v>370</v>
      </c>
      <c r="B17" s="373">
        <v>5.207413989456084</v>
      </c>
      <c r="C17" s="373">
        <v>5.3803055519819978</v>
      </c>
      <c r="D17" s="373">
        <v>5.6803058938093258</v>
      </c>
    </row>
    <row r="18" spans="1:5" hidden="1" x14ac:dyDescent="0.25">
      <c r="A18" t="s">
        <v>371</v>
      </c>
      <c r="B18" s="373">
        <v>5.3200430585886833</v>
      </c>
      <c r="C18" s="373">
        <v>5.7957363017852268</v>
      </c>
      <c r="D18" s="373">
        <v>5.7864464918251839</v>
      </c>
    </row>
    <row r="19" spans="1:5" hidden="1" x14ac:dyDescent="0.25">
      <c r="A19" t="s">
        <v>372</v>
      </c>
      <c r="B19" s="374">
        <v>0.50534930081493501</v>
      </c>
      <c r="C19" s="374">
        <v>0.51858577281827178</v>
      </c>
      <c r="D19" s="374">
        <v>0.50462818915270335</v>
      </c>
    </row>
    <row r="20" spans="1:5" x14ac:dyDescent="0.25">
      <c r="A20" s="371" t="s">
        <v>374</v>
      </c>
      <c r="B20" s="372"/>
      <c r="C20" s="372"/>
      <c r="D20" s="372"/>
      <c r="E20" s="373">
        <f>AVERAGE(B27:D27)</f>
        <v>6.4243902109353286</v>
      </c>
    </row>
    <row r="21" spans="1:5" hidden="1" x14ac:dyDescent="0.25">
      <c r="A21" t="s">
        <v>2</v>
      </c>
      <c r="B21" s="38">
        <v>145339.30000000002</v>
      </c>
      <c r="C21" s="38">
        <v>115663.41000000002</v>
      </c>
      <c r="D21" s="38">
        <v>99648.780000000028</v>
      </c>
    </row>
    <row r="22" spans="1:5" hidden="1" x14ac:dyDescent="0.25">
      <c r="A22" t="s">
        <v>366</v>
      </c>
      <c r="B22" s="38">
        <v>1782276.43</v>
      </c>
      <c r="C22" s="38">
        <v>1245898.5099999998</v>
      </c>
      <c r="D22" s="38">
        <v>1070749.1199999999</v>
      </c>
    </row>
    <row r="23" spans="1:5" hidden="1" x14ac:dyDescent="0.25">
      <c r="A23" t="s">
        <v>367</v>
      </c>
      <c r="B23" s="38">
        <v>713842.8291999998</v>
      </c>
      <c r="C23" s="38">
        <v>543669.79980000004</v>
      </c>
      <c r="D23" s="38">
        <v>487748.69430000009</v>
      </c>
    </row>
    <row r="24" spans="1:5" hidden="1" x14ac:dyDescent="0.25">
      <c r="A24" t="s">
        <v>368</v>
      </c>
      <c r="B24" s="38">
        <v>1068433.6007999999</v>
      </c>
      <c r="C24" s="38">
        <v>702228.71020000009</v>
      </c>
      <c r="D24" s="38">
        <v>583000.42569999991</v>
      </c>
    </row>
    <row r="25" spans="1:5" hidden="1" x14ac:dyDescent="0.25">
      <c r="A25" t="s">
        <v>369</v>
      </c>
      <c r="B25" s="373">
        <v>12.262866478646862</v>
      </c>
      <c r="C25" s="373">
        <v>10.771760144370631</v>
      </c>
      <c r="D25" s="373">
        <v>10.745230598909485</v>
      </c>
    </row>
    <row r="26" spans="1:5" hidden="1" x14ac:dyDescent="0.25">
      <c r="A26" t="s">
        <v>370</v>
      </c>
      <c r="B26" s="373">
        <v>4.9115609418787605</v>
      </c>
      <c r="C26" s="373">
        <v>4.7004476160611208</v>
      </c>
      <c r="D26" s="373">
        <v>4.8946780311811136</v>
      </c>
    </row>
    <row r="27" spans="1:5" hidden="1" x14ac:dyDescent="0.25">
      <c r="A27" t="s">
        <v>371</v>
      </c>
      <c r="B27" s="373">
        <v>7.3513055367680993</v>
      </c>
      <c r="C27" s="373">
        <v>6.0713125283095142</v>
      </c>
      <c r="D27" s="373">
        <v>5.8505525677283732</v>
      </c>
    </row>
    <row r="28" spans="1:5" hidden="1" x14ac:dyDescent="0.25">
      <c r="A28" t="s">
        <v>372</v>
      </c>
      <c r="B28" s="374">
        <v>0.59947692895203686</v>
      </c>
      <c r="C28" s="374">
        <v>0.56363235413131707</v>
      </c>
      <c r="D28" s="374">
        <v>0.54447901456131942</v>
      </c>
    </row>
    <row r="29" spans="1:5" x14ac:dyDescent="0.25">
      <c r="A29" s="371" t="s">
        <v>375</v>
      </c>
      <c r="B29" s="372"/>
      <c r="C29" s="372"/>
      <c r="D29" s="372"/>
      <c r="E29" s="373">
        <f>AVERAGE(B36:D36)</f>
        <v>5.0285713564027636</v>
      </c>
    </row>
    <row r="30" spans="1:5" hidden="1" x14ac:dyDescent="0.25">
      <c r="A30" t="s">
        <v>2</v>
      </c>
      <c r="B30" s="38">
        <v>335520.59999999998</v>
      </c>
      <c r="C30" s="38">
        <v>418349.52000000008</v>
      </c>
      <c r="D30" s="38">
        <v>234847.24000000002</v>
      </c>
    </row>
    <row r="31" spans="1:5" hidden="1" x14ac:dyDescent="0.25">
      <c r="A31" t="s">
        <v>366</v>
      </c>
      <c r="B31" s="38">
        <v>3412397.6299999994</v>
      </c>
      <c r="C31" s="38">
        <v>4309347.1500000004</v>
      </c>
      <c r="D31" s="38">
        <v>2811624.96</v>
      </c>
    </row>
    <row r="32" spans="1:5" hidden="1" x14ac:dyDescent="0.25">
      <c r="A32" t="s">
        <v>367</v>
      </c>
      <c r="B32" s="38">
        <v>1883179.8923910009</v>
      </c>
      <c r="C32" s="38">
        <v>2405432.9569000006</v>
      </c>
      <c r="D32" s="38">
        <v>1407953.6538999996</v>
      </c>
    </row>
    <row r="33" spans="1:5" hidden="1" x14ac:dyDescent="0.25">
      <c r="A33" t="s">
        <v>368</v>
      </c>
      <c r="B33" s="38">
        <v>1529217.737608999</v>
      </c>
      <c r="C33" s="38">
        <v>1903914.1931000005</v>
      </c>
      <c r="D33" s="38">
        <v>1403671.3061000002</v>
      </c>
    </row>
    <row r="34" spans="1:5" hidden="1" x14ac:dyDescent="0.25">
      <c r="A34" t="s">
        <v>369</v>
      </c>
      <c r="B34" s="373">
        <v>10.17045638926492</v>
      </c>
      <c r="C34" s="373">
        <v>10.300829674670117</v>
      </c>
      <c r="D34" s="373">
        <v>11.972143934925528</v>
      </c>
    </row>
    <row r="35" spans="1:5" hidden="1" x14ac:dyDescent="0.25">
      <c r="A35" t="s">
        <v>370</v>
      </c>
      <c r="B35" s="373">
        <v>5.6127101954127436</v>
      </c>
      <c r="C35" s="373">
        <v>5.7498164618427197</v>
      </c>
      <c r="D35" s="373">
        <v>5.9951892723968117</v>
      </c>
    </row>
    <row r="36" spans="1:5" hidden="1" x14ac:dyDescent="0.25">
      <c r="A36" t="s">
        <v>371</v>
      </c>
      <c r="B36" s="373">
        <v>4.5577461938521777</v>
      </c>
      <c r="C36" s="373">
        <v>4.5510132128273986</v>
      </c>
      <c r="D36" s="373">
        <v>5.9769546625287147</v>
      </c>
    </row>
    <row r="37" spans="1:5" hidden="1" x14ac:dyDescent="0.25">
      <c r="A37" t="s">
        <v>372</v>
      </c>
      <c r="B37" s="374">
        <v>0.44813585737046691</v>
      </c>
      <c r="C37" s="374">
        <v>0.44181035475408387</v>
      </c>
      <c r="D37" s="374">
        <v>0.49923845678905915</v>
      </c>
    </row>
    <row r="38" spans="1:5" hidden="1" x14ac:dyDescent="0.25">
      <c r="A38" s="371" t="s">
        <v>376</v>
      </c>
      <c r="B38" s="372"/>
      <c r="C38" s="372"/>
      <c r="D38" s="372"/>
      <c r="E38" s="373">
        <f>AVERAGE(B45:D45)</f>
        <v>10.534159619112307</v>
      </c>
    </row>
    <row r="39" spans="1:5" hidden="1" x14ac:dyDescent="0.25">
      <c r="A39" t="s">
        <v>2</v>
      </c>
      <c r="B39" s="38">
        <v>128699.39999999997</v>
      </c>
      <c r="C39" s="38">
        <v>155351.93000000002</v>
      </c>
      <c r="D39" s="38">
        <v>182023.71</v>
      </c>
    </row>
    <row r="40" spans="1:5" hidden="1" x14ac:dyDescent="0.25">
      <c r="A40" t="s">
        <v>366</v>
      </c>
      <c r="B40" s="38">
        <v>2758938.0500000012</v>
      </c>
      <c r="C40" s="38">
        <v>3541882.9100000025</v>
      </c>
      <c r="D40" s="38">
        <v>3878328.1300000027</v>
      </c>
    </row>
    <row r="41" spans="1:5" hidden="1" x14ac:dyDescent="0.25">
      <c r="A41" t="s">
        <v>367</v>
      </c>
      <c r="B41" s="38">
        <v>1307103.9473367007</v>
      </c>
      <c r="C41" s="38">
        <v>1830324.0389727999</v>
      </c>
      <c r="D41" s="38">
        <v>2184713.3358090022</v>
      </c>
    </row>
    <row r="42" spans="1:5" hidden="1" x14ac:dyDescent="0.25">
      <c r="A42" t="s">
        <v>368</v>
      </c>
      <c r="B42" s="38">
        <v>1451834.1026633002</v>
      </c>
      <c r="C42" s="38">
        <v>1711558.8710271998</v>
      </c>
      <c r="D42" s="38">
        <v>1693614.794191001</v>
      </c>
    </row>
    <row r="43" spans="1:5" hidden="1" x14ac:dyDescent="0.25">
      <c r="A43" t="s">
        <v>369</v>
      </c>
      <c r="B43" s="373">
        <v>21.437070025190497</v>
      </c>
      <c r="C43" s="373">
        <v>22.79909177826115</v>
      </c>
      <c r="D43" s="373">
        <v>21.30671949275181</v>
      </c>
    </row>
    <row r="44" spans="1:5" hidden="1" x14ac:dyDescent="0.25">
      <c r="A44" t="s">
        <v>370</v>
      </c>
      <c r="B44" s="373">
        <v>10.156255175522972</v>
      </c>
      <c r="C44" s="373">
        <v>11.781791439429171</v>
      </c>
      <c r="D44" s="373">
        <v>12.00235582391438</v>
      </c>
    </row>
    <row r="45" spans="1:5" hidden="1" x14ac:dyDescent="0.25">
      <c r="A45" t="s">
        <v>371</v>
      </c>
      <c r="B45" s="373">
        <v>11.280814849667525</v>
      </c>
      <c r="C45" s="373">
        <v>11.017300338831964</v>
      </c>
      <c r="D45" s="373">
        <v>9.3043636688374338</v>
      </c>
    </row>
    <row r="46" spans="1:5" hidden="1" x14ac:dyDescent="0.25">
      <c r="A46" t="s">
        <v>372</v>
      </c>
      <c r="B46" s="374">
        <v>0.52622932314964432</v>
      </c>
      <c r="C46" s="374">
        <v>0.48323417643052424</v>
      </c>
      <c r="D46" s="374">
        <v>0.43668682417312632</v>
      </c>
    </row>
    <row r="47" spans="1:5" hidden="1" x14ac:dyDescent="0.25">
      <c r="A47" s="371" t="s">
        <v>180</v>
      </c>
      <c r="B47" s="372"/>
      <c r="C47" s="372"/>
      <c r="D47" s="372"/>
      <c r="E47" s="373">
        <f>AVERAGE(B54:D54)</f>
        <v>3.7535227477527155</v>
      </c>
    </row>
    <row r="48" spans="1:5" hidden="1" x14ac:dyDescent="0.25">
      <c r="A48" t="s">
        <v>2</v>
      </c>
      <c r="B48" s="38">
        <v>429092.10000000003</v>
      </c>
      <c r="C48" s="38">
        <v>996745.26</v>
      </c>
      <c r="D48" s="38">
        <v>596272.5199999999</v>
      </c>
    </row>
    <row r="49" spans="1:5" hidden="1" x14ac:dyDescent="0.25">
      <c r="A49" t="s">
        <v>366</v>
      </c>
      <c r="B49" s="38">
        <v>5870082.3200000003</v>
      </c>
      <c r="C49" s="38">
        <v>11775320.49</v>
      </c>
      <c r="D49" s="38">
        <v>8025999.4200000009</v>
      </c>
    </row>
    <row r="50" spans="1:5" hidden="1" x14ac:dyDescent="0.25">
      <c r="A50" t="s">
        <v>367</v>
      </c>
      <c r="B50" s="38">
        <v>4191269.0528000016</v>
      </c>
      <c r="C50" s="38">
        <v>8509268.2188579999</v>
      </c>
      <c r="D50" s="38">
        <v>5598351.3297219994</v>
      </c>
    </row>
    <row r="51" spans="1:5" hidden="1" x14ac:dyDescent="0.25">
      <c r="A51" t="s">
        <v>368</v>
      </c>
      <c r="B51" s="38">
        <v>1678813.2672000008</v>
      </c>
      <c r="C51" s="38">
        <v>3266052.2711419999</v>
      </c>
      <c r="D51" s="38">
        <v>2427648.0902780001</v>
      </c>
    </row>
    <row r="52" spans="1:5" hidden="1" x14ac:dyDescent="0.25">
      <c r="A52" t="s">
        <v>369</v>
      </c>
      <c r="B52" s="373">
        <v>13.680238624761444</v>
      </c>
      <c r="C52" s="373">
        <v>11.813771243818104</v>
      </c>
      <c r="D52" s="373">
        <v>13.460287286088587</v>
      </c>
    </row>
    <row r="53" spans="1:5" hidden="1" x14ac:dyDescent="0.25">
      <c r="A53" t="s">
        <v>370</v>
      </c>
      <c r="B53" s="373">
        <v>9.7677609371041818</v>
      </c>
      <c r="C53" s="373">
        <v>8.5370541103531306</v>
      </c>
      <c r="D53" s="373">
        <v>9.388913863952677</v>
      </c>
    </row>
    <row r="54" spans="1:5" hidden="1" x14ac:dyDescent="0.25">
      <c r="A54" t="s">
        <v>371</v>
      </c>
      <c r="B54" s="373">
        <v>3.9124776876572667</v>
      </c>
      <c r="C54" s="373">
        <v>3.2767171334649738</v>
      </c>
      <c r="D54" s="373">
        <v>4.0713734221359061</v>
      </c>
    </row>
    <row r="55" spans="1:5" hidden="1" x14ac:dyDescent="0.25">
      <c r="A55" t="s">
        <v>372</v>
      </c>
      <c r="B55" s="374">
        <v>0.28599484226653926</v>
      </c>
      <c r="C55" s="374">
        <v>0.27736419351945807</v>
      </c>
      <c r="D55" s="374">
        <v>0.30247299597711658</v>
      </c>
    </row>
    <row r="56" spans="1:5" x14ac:dyDescent="0.25">
      <c r="A56" s="371" t="s">
        <v>377</v>
      </c>
      <c r="B56" s="372"/>
      <c r="C56" s="372"/>
      <c r="D56" s="372"/>
      <c r="E56" s="373">
        <f>AVERAGE(B63:D63)</f>
        <v>3.8592165558162406</v>
      </c>
    </row>
    <row r="57" spans="1:5" hidden="1" x14ac:dyDescent="0.25">
      <c r="A57" t="s">
        <v>2</v>
      </c>
      <c r="B57" s="38">
        <v>29105.599999999999</v>
      </c>
      <c r="C57" s="38">
        <v>130161</v>
      </c>
      <c r="D57" s="38">
        <v>83270.25</v>
      </c>
    </row>
    <row r="58" spans="1:5" hidden="1" x14ac:dyDescent="0.25">
      <c r="A58" t="s">
        <v>366</v>
      </c>
      <c r="B58" s="38">
        <v>415904.12</v>
      </c>
      <c r="C58" s="38">
        <v>1746524.3200000003</v>
      </c>
      <c r="D58" s="38">
        <v>1349089.6500000001</v>
      </c>
    </row>
    <row r="59" spans="1:5" hidden="1" x14ac:dyDescent="0.25">
      <c r="A59" t="s">
        <v>367</v>
      </c>
      <c r="B59" s="38">
        <v>295662.02978000004</v>
      </c>
      <c r="C59" s="38">
        <v>1378444.7804999999</v>
      </c>
      <c r="D59" s="38">
        <v>964503.06624600012</v>
      </c>
    </row>
    <row r="60" spans="1:5" hidden="1" x14ac:dyDescent="0.25">
      <c r="A60" t="s">
        <v>368</v>
      </c>
      <c r="B60" s="38">
        <v>120242.09021999998</v>
      </c>
      <c r="C60" s="38">
        <v>368079.53950000001</v>
      </c>
      <c r="D60" s="38">
        <v>384586.5837539999</v>
      </c>
    </row>
    <row r="61" spans="1:5" hidden="1" x14ac:dyDescent="0.25">
      <c r="A61" t="s">
        <v>369</v>
      </c>
      <c r="B61" s="373">
        <v>14.289487933593536</v>
      </c>
      <c r="C61" s="373">
        <v>13.418184556049818</v>
      </c>
      <c r="D61" s="373">
        <v>16.201340214542409</v>
      </c>
    </row>
    <row r="62" spans="1:5" hidden="1" x14ac:dyDescent="0.25">
      <c r="A62" t="s">
        <v>370</v>
      </c>
      <c r="B62" s="373">
        <v>10.158252356247598</v>
      </c>
      <c r="C62" s="373">
        <v>10.590305702168852</v>
      </c>
      <c r="D62" s="373">
        <v>11.58280497832059</v>
      </c>
    </row>
    <row r="63" spans="1:5" hidden="1" x14ac:dyDescent="0.25">
      <c r="A63" t="s">
        <v>371</v>
      </c>
      <c r="B63" s="373">
        <v>4.1312355773459402</v>
      </c>
      <c r="C63" s="373">
        <v>2.8278788538809629</v>
      </c>
      <c r="D63" s="373">
        <v>4.6185352362218186</v>
      </c>
    </row>
    <row r="64" spans="1:5" hidden="1" x14ac:dyDescent="0.25">
      <c r="A64" t="s">
        <v>372</v>
      </c>
      <c r="B64" s="374">
        <v>0.28911012042871803</v>
      </c>
      <c r="C64" s="374">
        <v>0.21074973608154507</v>
      </c>
      <c r="D64" s="374">
        <v>0.285071183930586</v>
      </c>
    </row>
    <row r="65" spans="1:5" x14ac:dyDescent="0.25">
      <c r="A65" s="371" t="s">
        <v>378</v>
      </c>
      <c r="B65" s="372"/>
      <c r="C65" s="372"/>
      <c r="D65" s="372"/>
      <c r="E65" s="373">
        <f>AVERAGE(B72:D72)</f>
        <v>1.857303462541994</v>
      </c>
    </row>
    <row r="66" spans="1:5" hidden="1" x14ac:dyDescent="0.25">
      <c r="A66" t="s">
        <v>2</v>
      </c>
      <c r="B66" s="38">
        <v>686451.5</v>
      </c>
      <c r="C66" s="38">
        <v>610902.19999999995</v>
      </c>
      <c r="D66" s="38">
        <v>651816.4</v>
      </c>
    </row>
    <row r="67" spans="1:5" hidden="1" x14ac:dyDescent="0.25">
      <c r="A67" t="s">
        <v>366</v>
      </c>
      <c r="B67" s="38">
        <v>4462258.9999999991</v>
      </c>
      <c r="C67" s="38">
        <v>3742360.6600000015</v>
      </c>
      <c r="D67" s="38">
        <v>4392447.5399999991</v>
      </c>
    </row>
    <row r="68" spans="1:5" hidden="1" x14ac:dyDescent="0.25">
      <c r="A68" t="s">
        <v>367</v>
      </c>
      <c r="B68" s="38">
        <v>3019315.9521700004</v>
      </c>
      <c r="C68" s="38">
        <v>2883666.2446400002</v>
      </c>
      <c r="D68" s="38">
        <v>3046928.0314600025</v>
      </c>
    </row>
    <row r="69" spans="1:5" hidden="1" x14ac:dyDescent="0.25">
      <c r="A69" t="s">
        <v>368</v>
      </c>
      <c r="B69" s="38">
        <v>1442943.0478299987</v>
      </c>
      <c r="C69" s="38">
        <v>858694.41535999975</v>
      </c>
      <c r="D69" s="38">
        <v>1345519.5085400005</v>
      </c>
    </row>
    <row r="70" spans="1:5" hidden="1" x14ac:dyDescent="0.25">
      <c r="A70" t="s">
        <v>369</v>
      </c>
      <c r="B70" s="373">
        <v>6.5004723567506213</v>
      </c>
      <c r="C70" s="373">
        <v>6.1259570844564024</v>
      </c>
      <c r="D70" s="373">
        <v>6.7387803375306286</v>
      </c>
    </row>
    <row r="71" spans="1:5" hidden="1" x14ac:dyDescent="0.25">
      <c r="A71" t="s">
        <v>370</v>
      </c>
      <c r="B71" s="373">
        <v>4.3984403154046579</v>
      </c>
      <c r="C71" s="373">
        <v>4.7203402519093896</v>
      </c>
      <c r="D71" s="373">
        <v>4.6745188237976256</v>
      </c>
    </row>
    <row r="72" spans="1:5" hidden="1" x14ac:dyDescent="0.25">
      <c r="A72" t="s">
        <v>371</v>
      </c>
      <c r="B72" s="373">
        <v>2.1020320413459634</v>
      </c>
      <c r="C72" s="373">
        <v>1.4056168325470098</v>
      </c>
      <c r="D72" s="373">
        <v>2.0642615137330091</v>
      </c>
    </row>
    <row r="73" spans="1:5" hidden="1" x14ac:dyDescent="0.25">
      <c r="A73" t="s">
        <v>372</v>
      </c>
      <c r="B73" s="374">
        <v>0.32336604572482208</v>
      </c>
      <c r="C73" s="374">
        <v>0.22945260849337792</v>
      </c>
      <c r="D73" s="374">
        <v>0.30632568659886622</v>
      </c>
    </row>
    <row r="74" spans="1:5" x14ac:dyDescent="0.25">
      <c r="A74" s="371" t="s">
        <v>379</v>
      </c>
      <c r="B74" s="372"/>
      <c r="C74" s="372"/>
      <c r="D74" s="372"/>
      <c r="E74" s="373">
        <f>AVERAGE(B81:D81)</f>
        <v>4.0823118593359249</v>
      </c>
    </row>
    <row r="75" spans="1:5" hidden="1" x14ac:dyDescent="0.25">
      <c r="A75" t="s">
        <v>2</v>
      </c>
      <c r="B75" s="38">
        <v>1502104</v>
      </c>
      <c r="C75" s="38">
        <v>1439964.1600000001</v>
      </c>
      <c r="D75" s="38">
        <v>1768349.72</v>
      </c>
    </row>
    <row r="76" spans="1:5" hidden="1" x14ac:dyDescent="0.25">
      <c r="A76" t="s">
        <v>366</v>
      </c>
      <c r="B76" s="38">
        <v>15265298.339999987</v>
      </c>
      <c r="C76" s="38">
        <v>14239686.000000006</v>
      </c>
      <c r="D76" s="38">
        <v>19115404.009999983</v>
      </c>
    </row>
    <row r="77" spans="1:5" hidden="1" x14ac:dyDescent="0.25">
      <c r="A77" t="s">
        <v>367</v>
      </c>
      <c r="B77" s="38">
        <v>8914703.435800001</v>
      </c>
      <c r="C77" s="38">
        <v>8910999.8121759985</v>
      </c>
      <c r="D77" s="38">
        <v>11478666.887590012</v>
      </c>
    </row>
    <row r="78" spans="1:5" hidden="1" x14ac:dyDescent="0.25">
      <c r="A78" t="s">
        <v>368</v>
      </c>
      <c r="B78" s="38">
        <v>6350594.9041999988</v>
      </c>
      <c r="C78" s="38">
        <v>5328686.1878240062</v>
      </c>
      <c r="D78" s="38">
        <v>7636737.1224099984</v>
      </c>
    </row>
    <row r="79" spans="1:5" hidden="1" x14ac:dyDescent="0.25">
      <c r="A79" t="s">
        <v>369</v>
      </c>
      <c r="B79" s="373">
        <v>10.162610804578103</v>
      </c>
      <c r="C79" s="373">
        <v>9.888916957488723</v>
      </c>
      <c r="D79" s="373">
        <v>10.809741870516417</v>
      </c>
    </row>
    <row r="80" spans="1:5" hidden="1" x14ac:dyDescent="0.25">
      <c r="A80" t="s">
        <v>370</v>
      </c>
      <c r="B80" s="373">
        <v>5.9348110622167312</v>
      </c>
      <c r="C80" s="373">
        <v>6.1883483351252284</v>
      </c>
      <c r="D80" s="373">
        <v>6.4911746572335316</v>
      </c>
    </row>
    <row r="81" spans="1:5" hidden="1" x14ac:dyDescent="0.25">
      <c r="A81" t="s">
        <v>371</v>
      </c>
      <c r="B81" s="373">
        <v>4.2277997423613805</v>
      </c>
      <c r="C81" s="373">
        <v>3.7005686223634937</v>
      </c>
      <c r="D81" s="373">
        <v>4.3185672132829014</v>
      </c>
    </row>
    <row r="82" spans="1:5" hidden="1" x14ac:dyDescent="0.25">
      <c r="A82" t="s">
        <v>372</v>
      </c>
      <c r="B82" s="374">
        <v>0.41601511891578297</v>
      </c>
      <c r="C82" s="374">
        <v>0.37421374234122889</v>
      </c>
      <c r="D82" s="374">
        <v>0.39950696927017265</v>
      </c>
    </row>
    <row r="83" spans="1:5" x14ac:dyDescent="0.25">
      <c r="A83" s="371" t="s">
        <v>380</v>
      </c>
      <c r="B83" s="372"/>
      <c r="C83" s="372"/>
      <c r="D83" s="372"/>
      <c r="E83" s="373">
        <f>AVERAGE(B90:D90)</f>
        <v>11.164240115322043</v>
      </c>
    </row>
    <row r="84" spans="1:5" hidden="1" x14ac:dyDescent="0.25">
      <c r="A84" t="s">
        <v>2</v>
      </c>
      <c r="B84" s="38">
        <v>346250.64999999985</v>
      </c>
      <c r="C84" s="38">
        <v>367541.02000000037</v>
      </c>
      <c r="D84" s="38">
        <v>237903.08999999994</v>
      </c>
    </row>
    <row r="85" spans="1:5" hidden="1" x14ac:dyDescent="0.25">
      <c r="A85" t="s">
        <v>366</v>
      </c>
      <c r="B85" s="38">
        <v>7802250.8999999985</v>
      </c>
      <c r="C85" s="38">
        <v>7857197.370000001</v>
      </c>
      <c r="D85" s="38">
        <v>5204044.8099999987</v>
      </c>
    </row>
    <row r="86" spans="1:5" hidden="1" x14ac:dyDescent="0.25">
      <c r="A86" t="s">
        <v>367</v>
      </c>
      <c r="B86" s="38">
        <v>3764464.4759793007</v>
      </c>
      <c r="C86" s="38">
        <v>3912190.8148964024</v>
      </c>
      <c r="D86" s="38">
        <v>2563855.4240535018</v>
      </c>
    </row>
    <row r="87" spans="1:5" hidden="1" x14ac:dyDescent="0.25">
      <c r="A87" t="s">
        <v>368</v>
      </c>
      <c r="B87" s="38">
        <v>4037786.4240207011</v>
      </c>
      <c r="C87" s="38">
        <v>3945006.5551035972</v>
      </c>
      <c r="D87" s="38">
        <v>2640189.3859465006</v>
      </c>
    </row>
    <row r="88" spans="1:5" hidden="1" x14ac:dyDescent="0.25">
      <c r="A88" t="s">
        <v>369</v>
      </c>
      <c r="B88" s="373">
        <v>22.533534305278565</v>
      </c>
      <c r="C88" s="373">
        <v>21.377742734674875</v>
      </c>
      <c r="D88" s="373">
        <v>21.874641518947904</v>
      </c>
    </row>
    <row r="89" spans="1:5" hidden="1" x14ac:dyDescent="0.25">
      <c r="A89" t="s">
        <v>370</v>
      </c>
      <c r="B89" s="373">
        <v>10.872079159936025</v>
      </c>
      <c r="C89" s="373">
        <v>10.644229084678489</v>
      </c>
      <c r="D89" s="373">
        <v>10.776889968320724</v>
      </c>
    </row>
    <row r="90" spans="1:5" hidden="1" x14ac:dyDescent="0.25">
      <c r="A90" t="s">
        <v>371</v>
      </c>
      <c r="B90" s="373">
        <v>11.661455145342551</v>
      </c>
      <c r="C90" s="373">
        <v>10.733513649996382</v>
      </c>
      <c r="D90" s="373">
        <v>11.097751550627196</v>
      </c>
    </row>
    <row r="91" spans="1:5" hidden="1" x14ac:dyDescent="0.25">
      <c r="A91" t="s">
        <v>372</v>
      </c>
      <c r="B91" s="374">
        <v>0.51751558310188439</v>
      </c>
      <c r="C91" s="374">
        <v>0.50208825988847428</v>
      </c>
      <c r="D91" s="374">
        <v>0.50733409921320438</v>
      </c>
    </row>
    <row r="92" spans="1:5" x14ac:dyDescent="0.25">
      <c r="A92" s="371" t="s">
        <v>381</v>
      </c>
      <c r="B92" s="372"/>
      <c r="C92" s="372"/>
      <c r="D92" s="372"/>
      <c r="E92" s="373">
        <f>AVERAGE(B99:D99)</f>
        <v>3.2822710067490681</v>
      </c>
    </row>
    <row r="93" spans="1:5" hidden="1" x14ac:dyDescent="0.25">
      <c r="A93" t="s">
        <v>2</v>
      </c>
      <c r="B93" s="38">
        <v>141517.35999999996</v>
      </c>
      <c r="C93" s="38">
        <v>78363.23000000001</v>
      </c>
      <c r="D93" s="38">
        <v>77366.650000000009</v>
      </c>
    </row>
    <row r="94" spans="1:5" hidden="1" x14ac:dyDescent="0.25">
      <c r="A94" t="s">
        <v>366</v>
      </c>
      <c r="B94" s="38">
        <v>958508.5</v>
      </c>
      <c r="C94" s="38">
        <v>578726.1</v>
      </c>
      <c r="D94" s="38">
        <v>604313</v>
      </c>
    </row>
    <row r="95" spans="1:5" hidden="1" x14ac:dyDescent="0.25">
      <c r="A95" t="s">
        <v>367</v>
      </c>
      <c r="B95" s="38">
        <v>556700.84579999989</v>
      </c>
      <c r="C95" s="38">
        <v>332253.83860000008</v>
      </c>
      <c r="D95" s="38">
        <v>305501.54320000001</v>
      </c>
    </row>
    <row r="96" spans="1:5" hidden="1" x14ac:dyDescent="0.25">
      <c r="A96" t="s">
        <v>368</v>
      </c>
      <c r="B96" s="38">
        <v>401807.65419999999</v>
      </c>
      <c r="C96" s="38">
        <v>246472.26139999987</v>
      </c>
      <c r="D96" s="38">
        <v>298811.45679999999</v>
      </c>
    </row>
    <row r="97" spans="1:4" hidden="1" x14ac:dyDescent="0.25">
      <c r="A97" t="s">
        <v>369</v>
      </c>
      <c r="B97" s="373">
        <v>6.7730807019011685</v>
      </c>
      <c r="C97" s="373">
        <v>7.3851741435364504</v>
      </c>
      <c r="D97" s="373">
        <v>7.8110271027632701</v>
      </c>
    </row>
    <row r="98" spans="1:4" hidden="1" x14ac:dyDescent="0.25">
      <c r="A98" t="s">
        <v>370</v>
      </c>
      <c r="B98" s="373">
        <v>3.9337989756168437</v>
      </c>
      <c r="C98" s="373">
        <v>4.2399201589827271</v>
      </c>
      <c r="D98" s="373">
        <v>3.9487497933541129</v>
      </c>
    </row>
    <row r="99" spans="1:4" hidden="1" x14ac:dyDescent="0.25">
      <c r="A99" t="s">
        <v>371</v>
      </c>
      <c r="B99" s="373">
        <v>2.839281726284324</v>
      </c>
      <c r="C99" s="373">
        <v>3.1452539845537228</v>
      </c>
      <c r="D99" s="373">
        <v>3.8622773094091571</v>
      </c>
    </row>
    <row r="100" spans="1:4" hidden="1" x14ac:dyDescent="0.25">
      <c r="A100" t="s">
        <v>372</v>
      </c>
      <c r="B100" s="374">
        <v>0.41920092956922134</v>
      </c>
      <c r="C100" s="374">
        <v>0.42588758550893052</v>
      </c>
      <c r="D100" s="374">
        <v>0.49446471745602028</v>
      </c>
    </row>
  </sheetData>
  <autoFilter ref="A2:E100" xr:uid="{8B26283A-876D-4B37-98A9-075713B589D3}">
    <filterColumn colId="0">
      <filters>
        <filter val="COMMERCIAL ITEMS PRINTED"/>
        <filter val="INDUSTRIAL ITEMS PLAIN"/>
        <filter val="INDUSTRIAL ITEMS PRINTED"/>
        <filter val="Mono Layer Printed"/>
        <filter val="SHRINK FILM PLAIN"/>
        <filter val="SHRINK FILM PRINTED"/>
        <filter val="Shrink Sleeves"/>
        <filter val="WIDE FILM"/>
      </filters>
    </filterColumn>
  </autoFilter>
  <phoneticPr fontId="2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96C8-8124-492C-9697-6CF01E844FAD}">
  <dimension ref="I9:M17"/>
  <sheetViews>
    <sheetView tabSelected="1" workbookViewId="0">
      <selection activeCell="C3" sqref="C3"/>
    </sheetView>
  </sheetViews>
  <sheetFormatPr defaultRowHeight="15" x14ac:dyDescent="0.25"/>
  <cols>
    <col min="9" max="9" width="28.42578125" bestFit="1" customWidth="1"/>
  </cols>
  <sheetData>
    <row r="9" spans="9:13" x14ac:dyDescent="0.25">
      <c r="I9" s="371" t="s">
        <v>365</v>
      </c>
      <c r="J9" s="372"/>
      <c r="K9" s="372"/>
      <c r="L9" s="372"/>
      <c r="M9" s="373">
        <v>5.0027744175807163</v>
      </c>
    </row>
    <row r="10" spans="9:13" x14ac:dyDescent="0.25">
      <c r="I10" s="371" t="s">
        <v>373</v>
      </c>
      <c r="J10" s="372"/>
      <c r="K10" s="372"/>
      <c r="L10" s="372"/>
      <c r="M10" s="373">
        <v>5.6340752840663653</v>
      </c>
    </row>
    <row r="11" spans="9:13" x14ac:dyDescent="0.25">
      <c r="I11" s="371" t="s">
        <v>374</v>
      </c>
      <c r="J11" s="372"/>
      <c r="K11" s="372"/>
      <c r="L11" s="372"/>
      <c r="M11" s="373">
        <v>6.4243902109353286</v>
      </c>
    </row>
    <row r="12" spans="9:13" x14ac:dyDescent="0.25">
      <c r="I12" s="371" t="s">
        <v>375</v>
      </c>
      <c r="J12" s="372"/>
      <c r="K12" s="372"/>
      <c r="L12" s="372"/>
      <c r="M12" s="373">
        <v>5.0285713564027636</v>
      </c>
    </row>
    <row r="13" spans="9:13" x14ac:dyDescent="0.25">
      <c r="I13" s="371" t="s">
        <v>377</v>
      </c>
      <c r="J13" s="372"/>
      <c r="K13" s="372"/>
      <c r="L13" s="372"/>
      <c r="M13" s="373">
        <v>3.8592165558162406</v>
      </c>
    </row>
    <row r="14" spans="9:13" x14ac:dyDescent="0.25">
      <c r="I14" s="371" t="s">
        <v>378</v>
      </c>
      <c r="J14" s="372"/>
      <c r="K14" s="372"/>
      <c r="L14" s="372"/>
      <c r="M14" s="373">
        <v>1.857303462541994</v>
      </c>
    </row>
    <row r="15" spans="9:13" x14ac:dyDescent="0.25">
      <c r="I15" s="371" t="s">
        <v>379</v>
      </c>
      <c r="J15" s="372"/>
      <c r="K15" s="372"/>
      <c r="L15" s="372"/>
      <c r="M15" s="373">
        <v>4.0823118593359249</v>
      </c>
    </row>
    <row r="16" spans="9:13" x14ac:dyDescent="0.25">
      <c r="I16" s="371" t="s">
        <v>380</v>
      </c>
      <c r="J16" s="372"/>
      <c r="K16" s="372"/>
      <c r="L16" s="372"/>
      <c r="M16" s="373">
        <v>11.164240115322043</v>
      </c>
    </row>
    <row r="17" spans="9:13" x14ac:dyDescent="0.25">
      <c r="I17" s="371" t="s">
        <v>381</v>
      </c>
      <c r="J17" s="372"/>
      <c r="K17" s="372"/>
      <c r="L17" s="372"/>
      <c r="M17" s="373">
        <v>3.2822710067490681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4EA5-211E-42DB-B908-1C8FEC7CF710}">
  <dimension ref="G7:T25"/>
  <sheetViews>
    <sheetView topLeftCell="A6" zoomScale="70" zoomScaleNormal="70" workbookViewId="0">
      <selection activeCell="V8" sqref="V8"/>
    </sheetView>
  </sheetViews>
  <sheetFormatPr defaultRowHeight="15" x14ac:dyDescent="0.25"/>
  <cols>
    <col min="7" max="7" width="5" customWidth="1"/>
    <col min="8" max="8" width="7.7109375" bestFit="1" customWidth="1"/>
    <col min="9" max="9" width="8.7109375" customWidth="1"/>
    <col min="10" max="10" width="9" customWidth="1"/>
    <col min="11" max="11" width="6.5703125" customWidth="1"/>
    <col min="12" max="12" width="7.28515625" customWidth="1"/>
    <col min="13" max="13" width="6.28515625" customWidth="1"/>
    <col min="14" max="14" width="5.7109375" customWidth="1"/>
    <col min="18" max="18" width="12.28515625" customWidth="1"/>
  </cols>
  <sheetData>
    <row r="7" spans="7:14" ht="36" x14ac:dyDescent="0.25">
      <c r="G7" s="270" t="s">
        <v>325</v>
      </c>
      <c r="H7" s="270" t="s">
        <v>11</v>
      </c>
      <c r="I7" s="270" t="s">
        <v>326</v>
      </c>
      <c r="J7" s="270" t="s">
        <v>327</v>
      </c>
      <c r="K7" s="270" t="s">
        <v>329</v>
      </c>
      <c r="L7" s="270" t="s">
        <v>15</v>
      </c>
      <c r="M7" s="270" t="s">
        <v>330</v>
      </c>
      <c r="N7" s="270" t="s">
        <v>18</v>
      </c>
    </row>
    <row r="8" spans="7:14" ht="14.45" customHeight="1" x14ac:dyDescent="0.25">
      <c r="G8" s="368">
        <v>1</v>
      </c>
      <c r="H8" s="369" t="s">
        <v>34</v>
      </c>
      <c r="I8" s="369" t="s">
        <v>328</v>
      </c>
      <c r="J8" s="369" t="s">
        <v>328</v>
      </c>
      <c r="K8" s="369" t="s">
        <v>328</v>
      </c>
      <c r="L8" s="369" t="s">
        <v>331</v>
      </c>
      <c r="M8" s="369" t="s">
        <v>328</v>
      </c>
      <c r="N8" s="369" t="s">
        <v>331</v>
      </c>
    </row>
    <row r="9" spans="7:14" x14ac:dyDescent="0.25">
      <c r="G9" s="368"/>
      <c r="H9" s="369"/>
      <c r="I9" s="369"/>
      <c r="J9" s="369"/>
      <c r="K9" s="369"/>
      <c r="L9" s="369"/>
      <c r="M9" s="369"/>
      <c r="N9" s="369"/>
    </row>
    <row r="17" spans="7:20" ht="60" x14ac:dyDescent="0.25">
      <c r="G17" s="268" t="s">
        <v>37</v>
      </c>
      <c r="H17" s="268" t="s">
        <v>14</v>
      </c>
      <c r="I17" s="268" t="s">
        <v>15</v>
      </c>
      <c r="J17" s="268" t="s">
        <v>16</v>
      </c>
      <c r="K17" s="268" t="s">
        <v>17</v>
      </c>
      <c r="L17" s="268" t="s">
        <v>18</v>
      </c>
      <c r="M17" s="268" t="s">
        <v>19</v>
      </c>
      <c r="N17" s="269" t="s">
        <v>39</v>
      </c>
    </row>
    <row r="20" spans="7:20" x14ac:dyDescent="0.25">
      <c r="Q20" s="271" t="s">
        <v>326</v>
      </c>
      <c r="R20" s="271" t="s">
        <v>203</v>
      </c>
      <c r="S20" s="271" t="s">
        <v>14</v>
      </c>
      <c r="T20" s="271" t="s">
        <v>220</v>
      </c>
    </row>
    <row r="21" spans="7:20" x14ac:dyDescent="0.25">
      <c r="Q21" s="272" t="s">
        <v>238</v>
      </c>
      <c r="R21" s="272" t="s">
        <v>332</v>
      </c>
      <c r="S21" s="272">
        <v>0.9</v>
      </c>
      <c r="T21" s="272">
        <v>0</v>
      </c>
    </row>
    <row r="22" spans="7:20" x14ac:dyDescent="0.25">
      <c r="Q22" s="272" t="s">
        <v>238</v>
      </c>
      <c r="R22" s="272" t="s">
        <v>333</v>
      </c>
      <c r="S22" s="272">
        <v>0.79</v>
      </c>
      <c r="T22" s="272">
        <v>0</v>
      </c>
    </row>
    <row r="23" spans="7:20" x14ac:dyDescent="0.25">
      <c r="Q23" s="272" t="s">
        <v>238</v>
      </c>
      <c r="R23" s="272" t="s">
        <v>334</v>
      </c>
      <c r="S23" s="272">
        <v>0.79</v>
      </c>
      <c r="T23" s="272">
        <v>0</v>
      </c>
    </row>
    <row r="24" spans="7:20" x14ac:dyDescent="0.25">
      <c r="Q24" s="272" t="s">
        <v>238</v>
      </c>
      <c r="R24" s="272" t="s">
        <v>335</v>
      </c>
      <c r="S24" s="272">
        <v>0.8</v>
      </c>
      <c r="T24" s="272">
        <v>0</v>
      </c>
    </row>
    <row r="25" spans="7:20" x14ac:dyDescent="0.25">
      <c r="Q25" s="272" t="s">
        <v>238</v>
      </c>
      <c r="R25" s="272" t="s">
        <v>336</v>
      </c>
      <c r="S25" s="272">
        <v>0.87</v>
      </c>
      <c r="T25" s="272">
        <v>0</v>
      </c>
    </row>
  </sheetData>
  <mergeCells count="8">
    <mergeCell ref="G8:G9"/>
    <mergeCell ref="H8:H9"/>
    <mergeCell ref="M8:M9"/>
    <mergeCell ref="N8:N9"/>
    <mergeCell ref="I8:I9"/>
    <mergeCell ref="J8:J9"/>
    <mergeCell ref="K8:K9"/>
    <mergeCell ref="L8:L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812A-307F-453C-92CE-92FF0734E5BC}">
  <dimension ref="B2:L19"/>
  <sheetViews>
    <sheetView topLeftCell="A5" workbookViewId="0">
      <selection activeCell="K7" sqref="K7:K16"/>
    </sheetView>
  </sheetViews>
  <sheetFormatPr defaultRowHeight="15" x14ac:dyDescent="0.25"/>
  <cols>
    <col min="2" max="2" width="7.7109375" bestFit="1" customWidth="1"/>
    <col min="6" max="9" width="10.85546875" bestFit="1" customWidth="1"/>
    <col min="11" max="11" width="26.5703125" bestFit="1" customWidth="1"/>
    <col min="12" max="12" width="67.85546875" bestFit="1" customWidth="1"/>
  </cols>
  <sheetData>
    <row r="2" spans="2:12" ht="16.5" x14ac:dyDescent="0.25">
      <c r="B2" s="277">
        <v>0</v>
      </c>
      <c r="C2" s="277">
        <f>B4+1</f>
        <v>81</v>
      </c>
      <c r="D2" s="277">
        <f>C4+1</f>
        <v>151</v>
      </c>
      <c r="E2" s="277">
        <f t="shared" ref="E2:I2" si="0">D4+1</f>
        <v>301</v>
      </c>
      <c r="F2" s="277">
        <f t="shared" si="0"/>
        <v>601</v>
      </c>
      <c r="G2" s="277">
        <f t="shared" si="0"/>
        <v>1501</v>
      </c>
      <c r="H2" s="277">
        <f t="shared" si="0"/>
        <v>3001</v>
      </c>
      <c r="I2" s="277">
        <f t="shared" si="0"/>
        <v>5001</v>
      </c>
    </row>
    <row r="3" spans="2:12" ht="16.5" x14ac:dyDescent="0.3">
      <c r="B3" s="278" t="s">
        <v>339</v>
      </c>
      <c r="C3" s="278" t="s">
        <v>339</v>
      </c>
      <c r="D3" s="278" t="s">
        <v>339</v>
      </c>
      <c r="E3" s="278" t="s">
        <v>339</v>
      </c>
      <c r="F3" s="278" t="s">
        <v>339</v>
      </c>
      <c r="G3" s="278" t="s">
        <v>339</v>
      </c>
      <c r="H3" s="279"/>
      <c r="I3" s="279"/>
    </row>
    <row r="4" spans="2:12" ht="16.5" x14ac:dyDescent="0.25">
      <c r="B4" s="277">
        <v>80</v>
      </c>
      <c r="C4" s="277">
        <v>150</v>
      </c>
      <c r="D4" s="277">
        <v>300</v>
      </c>
      <c r="E4" s="277">
        <v>600</v>
      </c>
      <c r="F4" s="277">
        <v>1500</v>
      </c>
      <c r="G4" s="277">
        <v>3000</v>
      </c>
      <c r="H4" s="277">
        <v>5000</v>
      </c>
      <c r="I4" s="280" t="s">
        <v>340</v>
      </c>
    </row>
    <row r="5" spans="2:12" ht="18" x14ac:dyDescent="0.25">
      <c r="K5" s="370" t="s">
        <v>341</v>
      </c>
      <c r="L5" s="370"/>
    </row>
    <row r="6" spans="2:12" ht="18.75" x14ac:dyDescent="0.25">
      <c r="K6" s="281"/>
    </row>
    <row r="7" spans="2:12" x14ac:dyDescent="0.25">
      <c r="K7" t="s">
        <v>342</v>
      </c>
      <c r="L7" t="s">
        <v>343</v>
      </c>
    </row>
    <row r="8" spans="2:12" ht="30" x14ac:dyDescent="0.25">
      <c r="K8" t="s">
        <v>344</v>
      </c>
      <c r="L8" s="19" t="s">
        <v>352</v>
      </c>
    </row>
    <row r="9" spans="2:12" x14ac:dyDescent="0.25">
      <c r="K9" t="s">
        <v>345</v>
      </c>
      <c r="L9" t="s">
        <v>346</v>
      </c>
    </row>
    <row r="10" spans="2:12" x14ac:dyDescent="0.25">
      <c r="K10" t="s">
        <v>188</v>
      </c>
      <c r="L10" t="s">
        <v>347</v>
      </c>
    </row>
    <row r="11" spans="2:12" ht="15.75" thickBot="1" x14ac:dyDescent="0.3">
      <c r="K11" s="283" t="s">
        <v>350</v>
      </c>
      <c r="L11" t="s">
        <v>351</v>
      </c>
    </row>
    <row r="14" spans="2:12" x14ac:dyDescent="0.25">
      <c r="K14" t="s">
        <v>353</v>
      </c>
      <c r="L14" t="s">
        <v>354</v>
      </c>
    </row>
    <row r="15" spans="2:12" x14ac:dyDescent="0.25">
      <c r="K15" t="s">
        <v>348</v>
      </c>
      <c r="L15" t="s">
        <v>349</v>
      </c>
    </row>
    <row r="16" spans="2:12" x14ac:dyDescent="0.25">
      <c r="K16" t="s">
        <v>355</v>
      </c>
      <c r="L16" t="s">
        <v>356</v>
      </c>
    </row>
    <row r="17" spans="11:11" ht="20.25" x14ac:dyDescent="0.25">
      <c r="K17" s="282"/>
    </row>
    <row r="18" spans="11:11" ht="20.25" x14ac:dyDescent="0.25">
      <c r="K18" s="282"/>
    </row>
    <row r="19" spans="11:11" ht="20.25" x14ac:dyDescent="0.25">
      <c r="K19" s="282"/>
    </row>
  </sheetData>
  <mergeCells count="1">
    <mergeCell ref="K5:L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74</vt:i4>
      </vt:variant>
    </vt:vector>
  </HeadingPairs>
  <TitlesOfParts>
    <vt:vector size="88" baseType="lpstr">
      <vt:lpstr>PE Bag</vt:lpstr>
      <vt:lpstr>Substrate Costing Master</vt:lpstr>
      <vt:lpstr>Sheet3</vt:lpstr>
      <vt:lpstr>Roll</vt:lpstr>
      <vt:lpstr>Sheet5</vt:lpstr>
      <vt:lpstr>Data</vt:lpstr>
      <vt:lpstr>Sleeve</vt:lpstr>
      <vt:lpstr>Pouch</vt:lpstr>
      <vt:lpstr>Overall</vt:lpstr>
      <vt:lpstr>Sheet1</vt:lpstr>
      <vt:lpstr>Sheet6</vt:lpstr>
      <vt:lpstr>Sheet7</vt:lpstr>
      <vt:lpstr>Sheet2</vt:lpstr>
      <vt:lpstr>Sheet4</vt:lpstr>
      <vt:lpstr>'PE Bag'!Adhesive</vt:lpstr>
      <vt:lpstr>Pouch!Adhesive</vt:lpstr>
      <vt:lpstr>Roll!Adhesive</vt:lpstr>
      <vt:lpstr>Sleeve!Adhesive</vt:lpstr>
      <vt:lpstr>Adhesive</vt:lpstr>
      <vt:lpstr>'PE Bag'!CO_Pouch</vt:lpstr>
      <vt:lpstr>Pouch!CO_Pouch</vt:lpstr>
      <vt:lpstr>Roll!CO_Pouch</vt:lpstr>
      <vt:lpstr>CO_Pouch</vt:lpstr>
      <vt:lpstr>'PE Bag'!CO_Roll</vt:lpstr>
      <vt:lpstr>Pouch!CO_Roll</vt:lpstr>
      <vt:lpstr>Roll!CO_Roll</vt:lpstr>
      <vt:lpstr>CO_Roll</vt:lpstr>
      <vt:lpstr>'PE Bag'!CO_Sleeve</vt:lpstr>
      <vt:lpstr>Pouch!CO_Sleeve</vt:lpstr>
      <vt:lpstr>Roll!CO_Sleeve</vt:lpstr>
      <vt:lpstr>CO_Sleeve</vt:lpstr>
      <vt:lpstr>'PE Bag'!FLW</vt:lpstr>
      <vt:lpstr>Pouch!FLW</vt:lpstr>
      <vt:lpstr>Roll!FLW</vt:lpstr>
      <vt:lpstr>FLW</vt:lpstr>
      <vt:lpstr>Forms</vt:lpstr>
      <vt:lpstr>'PE Bag'!Ink</vt:lpstr>
      <vt:lpstr>Pouch!Ink</vt:lpstr>
      <vt:lpstr>Roll!Ink</vt:lpstr>
      <vt:lpstr>Sleeve!Ink</vt:lpstr>
      <vt:lpstr>Ink</vt:lpstr>
      <vt:lpstr>'PE Bag'!Nb_Ups_Sleeve</vt:lpstr>
      <vt:lpstr>Pouch!Nb_Ups_Sleeve</vt:lpstr>
      <vt:lpstr>Roll!Nb_Ups_Sleeve</vt:lpstr>
      <vt:lpstr>Nb_Ups_Sleeve</vt:lpstr>
      <vt:lpstr>'PE Bag'!OQKG</vt:lpstr>
      <vt:lpstr>Pouch!OQKG</vt:lpstr>
      <vt:lpstr>Roll!OQKG</vt:lpstr>
      <vt:lpstr>OQKG</vt:lpstr>
      <vt:lpstr>'PE Bag'!OQM</vt:lpstr>
      <vt:lpstr>Pouch!OQM</vt:lpstr>
      <vt:lpstr>Roll!OQM</vt:lpstr>
      <vt:lpstr>OQM</vt:lpstr>
      <vt:lpstr>'PE Bag'!Packaging</vt:lpstr>
      <vt:lpstr>Packaging</vt:lpstr>
      <vt:lpstr>'PE Bag'!Print_Area</vt:lpstr>
      <vt:lpstr>Pouch!Print_Area</vt:lpstr>
      <vt:lpstr>Roll!Print_Area</vt:lpstr>
      <vt:lpstr>Sleeve!Print_Area</vt:lpstr>
      <vt:lpstr>'PE Bag'!Ptypes</vt:lpstr>
      <vt:lpstr>Pouch!Ptypes</vt:lpstr>
      <vt:lpstr>Roll!Ptypes</vt:lpstr>
      <vt:lpstr>Sleeve!Ptypes</vt:lpstr>
      <vt:lpstr>Ptypes</vt:lpstr>
      <vt:lpstr>'PE Bag'!Substrate</vt:lpstr>
      <vt:lpstr>Pouch!Substrate</vt:lpstr>
      <vt:lpstr>Roll!Substrate</vt:lpstr>
      <vt:lpstr>Sleeve!Substrate</vt:lpstr>
      <vt:lpstr>Substrate</vt:lpstr>
      <vt:lpstr>'PE Bag'!Substrates</vt:lpstr>
      <vt:lpstr>Pouch!Substrates</vt:lpstr>
      <vt:lpstr>Roll!Substrates</vt:lpstr>
      <vt:lpstr>Sleeve!Substrates</vt:lpstr>
      <vt:lpstr>Substrates</vt:lpstr>
      <vt:lpstr>'PE Bag'!Type</vt:lpstr>
      <vt:lpstr>Pouch!Type</vt:lpstr>
      <vt:lpstr>Roll!Type</vt:lpstr>
      <vt:lpstr>Sleeve!Type</vt:lpstr>
      <vt:lpstr>Type</vt:lpstr>
      <vt:lpstr>'PE Bag'!Unit</vt:lpstr>
      <vt:lpstr>Pouch!Unit</vt:lpstr>
      <vt:lpstr>Roll!Unit</vt:lpstr>
      <vt:lpstr>Sleeve!Unit</vt:lpstr>
      <vt:lpstr>Unit</vt:lpstr>
      <vt:lpstr>'PE Bag'!UnitsDD</vt:lpstr>
      <vt:lpstr>Pouch!UnitsDD</vt:lpstr>
      <vt:lpstr>Roll!UnitsDD</vt:lpstr>
      <vt:lpstr>UnitsDD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</dc:creator>
  <cp:lastModifiedBy>Camille Salloum : IP-PMD-MGT</cp:lastModifiedBy>
  <cp:lastPrinted>2024-11-29T06:22:33Z</cp:lastPrinted>
  <dcterms:created xsi:type="dcterms:W3CDTF">2024-06-04T06:34:02Z</dcterms:created>
  <dcterms:modified xsi:type="dcterms:W3CDTF">2026-07-04T11:13:12Z</dcterms:modified>
</cp:coreProperties>
</file>