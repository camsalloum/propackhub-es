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C53D7500-E22D-45EC-8D67-A71876518AE2}" xr6:coauthVersionLast="47" xr6:coauthVersionMax="47" xr10:uidLastSave="{00000000-0000-0000-0000-000000000000}"/>
  <bookViews>
    <workbookView xWindow="-108" yWindow="-108" windowWidth="23256" windowHeight="12456" tabRatio="685" firstSheet="1" activeTab="10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Sheet5" sheetId="13" r:id="rId5"/>
    <sheet name="Data" sheetId="2" r:id="rId6"/>
    <sheet name="Sleeve" sheetId="3" r:id="rId7"/>
    <sheet name="Pouch" sheetId="5" r:id="rId8"/>
    <sheet name="Overall" sheetId="6" r:id="rId9"/>
    <sheet name="Sheet1" sheetId="7" r:id="rId10"/>
    <sheet name="Sheet6" sheetId="14" r:id="rId11"/>
    <sheet name="Sheet2" sheetId="10" r:id="rId12"/>
    <sheet name="Sheet4" sheetId="12" r:id="rId13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7">A[Adhesive]</definedName>
    <definedName name="Adhesive" localSheetId="3">A[Adhesive]</definedName>
    <definedName name="Adhesive" localSheetId="6">A[Adhesive]</definedName>
    <definedName name="Adhesive">A[Adhesive]</definedName>
    <definedName name="CO_Pouch" localSheetId="0">'PE Bag'!$K$14</definedName>
    <definedName name="CO_Pouch" localSheetId="7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7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7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7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7">Table4[Ink]</definedName>
    <definedName name="Ink" localSheetId="3">Table4[Ink]</definedName>
    <definedName name="Ink" localSheetId="6">Table4[Ink]</definedName>
    <definedName name="Ink">Table4[Ink]</definedName>
    <definedName name="Nb_Ups_Sleeve" localSheetId="0">'PE Bag'!$G$17</definedName>
    <definedName name="Nb_Ups_Sleeve" localSheetId="7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7">Pouch!$I$36</definedName>
    <definedName name="OQKG" localSheetId="3">Roll!$I$36</definedName>
    <definedName name="OQKG">Sleeve!$I$36</definedName>
    <definedName name="OQM" localSheetId="0">'PE Bag'!$I$38</definedName>
    <definedName name="OQM" localSheetId="7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7">Pouch!$A$1:$O$78</definedName>
    <definedName name="_xlnm.Print_Area" localSheetId="3">Roll!$A$1:$L$79</definedName>
    <definedName name="_xlnm.Print_Area" localSheetId="6">Sleeve!$A$1:$L$78</definedName>
    <definedName name="Ptypes" localSheetId="0">PTypeT[Product Type]</definedName>
    <definedName name="Ptypes" localSheetId="7">PTypeT[Product Type]</definedName>
    <definedName name="Ptypes" localSheetId="3">PTypeT[Product Type]</definedName>
    <definedName name="Ptypes" localSheetId="6">PTypeT[Product Type]</definedName>
    <definedName name="Ptypes">PTypeT[Product Type]</definedName>
    <definedName name="Substrate" localSheetId="0">Table3[Substrate]</definedName>
    <definedName name="Substrate" localSheetId="7">Table3[Substrate]</definedName>
    <definedName name="Substrate" localSheetId="3">Table3[Substrate]</definedName>
    <definedName name="Substrate" localSheetId="6">Table3[Substrate]</definedName>
    <definedName name="Substrate">Table3[Substrate]</definedName>
    <definedName name="Substrates" localSheetId="0">Table3[Substrate]</definedName>
    <definedName name="Substrates" localSheetId="7">Table3[Substrate]</definedName>
    <definedName name="Substrates" localSheetId="3">Table3[Substrate]</definedName>
    <definedName name="Substrates" localSheetId="6">Table3[Substrate]</definedName>
    <definedName name="Substrates">Table3[Substrate]</definedName>
    <definedName name="Type" localSheetId="0">T[Material Type]</definedName>
    <definedName name="Type" localSheetId="7">T[Material Type]</definedName>
    <definedName name="Type" localSheetId="3">T[Material Type]</definedName>
    <definedName name="Type" localSheetId="6">T[Material Type]</definedName>
    <definedName name="Type">T[Material Type]</definedName>
    <definedName name="Unit" localSheetId="0">UT[Units]</definedName>
    <definedName name="Unit" localSheetId="7">UT[Units]</definedName>
    <definedName name="Unit" localSheetId="3">UT[Units]</definedName>
    <definedName name="Unit" localSheetId="6">UT[Units]</definedName>
    <definedName name="Unit">UT[Units]</definedName>
    <definedName name="UnitsDD" localSheetId="0">'PE Bag'!$K$5</definedName>
    <definedName name="UnitsDD" localSheetId="7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2" l="1"/>
  <c r="H2" i="12"/>
  <c r="G2" i="12"/>
  <c r="F2" i="12"/>
  <c r="E2" i="12"/>
  <c r="D2" i="12"/>
  <c r="C2" i="12"/>
  <c r="E39" i="11" l="1"/>
  <c r="L20" i="11"/>
  <c r="L18" i="11"/>
  <c r="I31" i="4" l="1"/>
  <c r="I26" i="11"/>
  <c r="I31" i="11"/>
  <c r="C26" i="11"/>
  <c r="B120" i="11" l="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G31" i="11"/>
  <c r="D104" i="11" s="1"/>
  <c r="E104" i="11" s="1"/>
  <c r="G26" i="11"/>
  <c r="E26" i="11"/>
  <c r="F26" i="11"/>
  <c r="E25" i="11"/>
  <c r="F25" i="11" s="1"/>
  <c r="L19" i="11" s="1"/>
  <c r="C25" i="11"/>
  <c r="I25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E35" i="11" l="1"/>
  <c r="E36" i="11" s="1"/>
  <c r="B35" i="11"/>
  <c r="J25" i="1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7" i="11"/>
  <c r="E38" i="11" s="1"/>
  <c r="I9" i="9"/>
  <c r="K6" i="9"/>
  <c r="K8" i="9"/>
  <c r="C77" i="11" l="1"/>
  <c r="D47" i="11"/>
  <c r="D53" i="11"/>
  <c r="B101" i="11"/>
  <c r="D101" i="11" s="1"/>
  <c r="E101" i="11" s="1"/>
  <c r="F76" i="11"/>
  <c r="I37" i="11"/>
  <c r="E76" i="11"/>
  <c r="C76" i="11"/>
  <c r="D76" i="11"/>
  <c r="D77" i="11"/>
  <c r="I38" i="11"/>
  <c r="E77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<sst xmlns="http://schemas.openxmlformats.org/spreadsheetml/2006/main" count="985" uniqueCount="368">
  <si>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</si>
  <si>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</si>
  <si>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</si>
  <si>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</si>
  <si>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</si>
  <si>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</si>
  <si>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</si>
  <si>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</si>
  <si>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</si>
  <si>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</si>
  <si>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</si>
  <si>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</si>
  <si>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</si>
  <si>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</si>
  <si>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</si>
  <si>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</si>
  <si>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</si>
  <si>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</si>
  <si>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</si>
  <si>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</si>
  <si>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</si>
  <si>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</si>
  <si>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</si>
  <si>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</si>
  <si>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</si>
  <si>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</si>
  <si>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</si>
  <si>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</si>
  <si>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</si>
  <si>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</si>
  <si>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</si>
  <si>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</si>
  <si>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</si>
  <si>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</si>
  <si>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</si>
  <si>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</si>
  <si>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</si>
  <si>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</si>
  <si>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</si>
  <si>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</si>
  <si>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</si>
  <si>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</si>
  <si>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</si>
  <si>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</si>
  <si>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</si>
  <si>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</si>
  <si>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</si>
  <si>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</si>
  <si>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</si>
  <si>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</si>
  <si>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</si>
  <si>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</si>
  <si>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</si>
  <si>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</si>
  <si>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</si>
  <si>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</si>
  <si>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</si>
  <si>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</si>
  <si>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</si>
  <si>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</si>
  <si>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</si>
  <si>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</si>
  <si>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</si>
  <si>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</si>
  <si>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</si>
  <si>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</si>
  <si>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</si>
  <si>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</si>
  <si>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</si>
  <si>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</si>
  <si>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</si>
  <si>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</si>
  <si>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</si>
  <si>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</si>
  <si>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</si>
  <si>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</si>
  <si>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</si>
  <si>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</si>
  <si>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</si>
  <si>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</si>
  <si>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</si>
  <si>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</si>
  <si>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</si>
  <si>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</si>
  <si>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</si>
  <si>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</si>
  <si>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</si>
  <si>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</si>
  <si>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</si>
  <si>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</si>
  <si>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</si>
  <si>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</si>
  <si>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</si>
  <si>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</si>
  <si>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</si>
  <si>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</si>
  <si>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</si>
  <si>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</si>
  <si>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</si>
  <si>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</si>
  <si>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</si>
  <si>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</si>
  <si>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</si>
  <si>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</si>
  <si>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</si>
  <si>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</si>
  <si>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</si>
  <si>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</si>
  <si>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</si>
  <si>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</si>
  <si>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</si>
  <si>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</si>
  <si>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</si>
  <si>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</si>
  <si>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</si>
  <si>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</si>
  <si>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</si>
  <si>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</si>
  <si>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</si>
  <si>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</si>
  <si>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</si>
  <si>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</si>
  <si>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</si>
  <si>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</si>
  <si>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</si>
  <si>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</si>
  <si>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</si>
  <si>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</si>
  <si>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</si>
  <si>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</si>
  <si>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</si>
  <si>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</si>
  <si>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</si>
  <si>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</si>
  <si>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</si>
  <si>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</si>
  <si>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</si>
  <si>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</si>
  <si>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</si>
  <si>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</si>
  <si>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</si>
  <si>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</si>
  <si>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</si>
  <si>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</si>
  <si>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</si>
  <si>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</si>
  <si>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</si>
  <si>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</si>
  <si>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</si>
  <si>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</si>
  <si>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</si>
  <si>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</si>
  <si>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</si>
  <si>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</si>
  <si>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</si>
  <si>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</si>
  <si>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</si>
  <si>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</si>
  <si>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</si>
  <si>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</si>
  <si>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</si>
  <si>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</si>
  <si>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</si>
  <si>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</si>
  <si>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</si>
  <si>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</si>
  <si>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</si>
  <si>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</si>
  <si>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</si>
  <si>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</si>
  <si>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</si>
  <si>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</si>
  <si>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</si>
  <si>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</si>
  <si>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</si>
  <si>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</si>
  <si>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</si>
  <si>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</si>
  <si>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</si>
  <si>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</si>
  <si>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</si>
  <si>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</si>
  <si>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</si>
  <si>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</si>
  <si>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</si>
  <si>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</si>
  <si>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</si>
  <si>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</si>
  <si>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</si>
  <si>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</si>
  <si>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</si>
  <si>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</si>
  <si>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</si>
  <si>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</si>
  <si>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</si>
  <si>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</si>
  <si>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</si>
  <si>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</si>
  <si>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</si>
  <si>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</si>
  <si>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</si>
  <si>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</si>
  <si>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</si>
  <si>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</si>
  <si>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</si>
  <si>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</si>
  <si>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</si>
  <si>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</si>
  <si>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</si>
  <si>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</si>
  <si>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</si>
  <si>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</si>
  <si>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</si>
  <si>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</si>
  <si>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</si>
  <si>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</si>
  <si>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</si>
  <si>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</si>
  <si>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</si>
  <si>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</si>
  <si>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</si>
  <si>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</si>
  <si>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</si>
  <si>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</si>
  <si>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</si>
  <si>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</si>
  <si>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</si>
  <si>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</si>
  <si>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</si>
  <si>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</si>
  <si>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</si>
  <si>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</si>
  <si>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</si>
  <si>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</si>
  <si>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</si>
  <si>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</si>
  <si>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</si>
  <si>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</si>
  <si>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</si>
  <si>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</si>
  <si>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</si>
  <si>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</si>
  <si>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</si>
  <si>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</si>
  <si>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</si>
  <si>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</si>
  <si>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</si>
  <si>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</si>
  <si>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</si>
  <si>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</si>
  <si>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</si>
  <si>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</si>
  <si>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</si>
  <si>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</si>
  <si>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</si>
  <si>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</si>
  <si>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</si>
  <si>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</si>
  <si>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</si>
  <si>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</si>
  <si>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</si>
  <si>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</si>
  <si>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</si>
  <si>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</si>
  <si>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</si>
  <si>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</si>
  <si>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</si>
  <si>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</si>
  <si>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</si>
  <si>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</si>
  <si>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</si>
  <si>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</si>
  <si>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</si>
  <si>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</si>
  <si>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</si>
  <si>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</si>
  <si>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</si>
  <si>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</si>
  <si>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</si>
  <si>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</si>
  <si>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</si>
  <si>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</si>
  <si>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</si>
  <si>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</si>
  <si>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</si>
  <si>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</si>
  <si>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</si>
  <si>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</si>
  <si>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</si>
  <si>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</si>
  <si>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</si>
  <si>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</si>
  <si>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</si>
  <si>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</si>
  <si>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</si>
  <si>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</si>
  <si>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</si>
  <si>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</si>
  <si>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</si>
  <si>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</si>
  <si>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</si>
  <si>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</si>
  <si>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</si>
  <si>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</si>
  <si>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</si>
  <si>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</si>
  <si>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</si>
  <si>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</si>
  <si>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</si>
  <si>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</si>
  <si>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</si>
  <si>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</si>
  <si>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</si>
  <si>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</si>
  <si>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</si>
  <si>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</si>
  <si>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</si>
  <si>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</si>
  <si>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</si>
  <si>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</si>
  <si>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</si>
  <si>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</si>
  <si>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</si>
  <si>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</si>
  <si>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</si>
  <si>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</si>
  <si>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</si>
  <si>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</si>
  <si>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</si>
  <si>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</si>
  <si>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</si>
  <si>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</si>
  <si>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</si>
  <si>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</si>
  <si>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</si>
  <si>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</si>
  <si>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</si>
  <si>
    <t>Pieces/Kg</t>
  </si>
  <si>
    <t>LM per Kg</t>
  </si>
  <si>
    <t>to</t>
  </si>
  <si>
    <t>∞</t>
  </si>
  <si>
    <t>Cost breakdown</t>
  </si>
  <si>
    <t>Substrates</t>
  </si>
  <si>
    <t>sum of all substrates cost per Kg and per M2</t>
  </si>
  <si>
    <t>Ink, Solvent, Ahdesive &amp; Coating</t>
  </si>
  <si>
    <t>Waste</t>
  </si>
  <si>
    <t>based on the band calclaution</t>
  </si>
  <si>
    <t>coast of the falies packaging in the structure er kg and per m2</t>
  </si>
  <si>
    <t>PrePress</t>
  </si>
  <si>
    <t>Cost of Prepress as capture under Tooling / development charge, per kg and per m2</t>
  </si>
  <si>
    <t>Total RM</t>
  </si>
  <si>
    <t>sum of all above in kg and in m2</t>
  </si>
  <si>
    <t>sum of cost of the families Ink &amp; Coating, Adhesive,Solvent per kg and per m2</t>
  </si>
  <si>
    <t xml:space="preserve">Manufactering &amp; Operating </t>
  </si>
  <si>
    <t>Markup over RM or per kg cost</t>
  </si>
  <si>
    <t xml:space="preserve">Transportation </t>
  </si>
  <si>
    <t>As already defined</t>
  </si>
  <si>
    <r>
      <t>Substrates</t>
    </r>
    <r>
      <rPr>
        <sz val="8"/>
        <color rgb="FF0C0A09"/>
        <rFont val="Consolas"/>
        <family val="3"/>
      </rPr>
      <t>USD 1.69/kg</t>
    </r>
    <r>
      <rPr>
        <sz val="7"/>
        <color rgb="FF78716C"/>
        <rFont val="Consolas"/>
        <family val="3"/>
      </rPr>
      <t>USD 0.1143/m²</t>
    </r>
  </si>
  <si>
    <r>
      <t>Ink, Solvent, Adhesive &amp; Coating</t>
    </r>
    <r>
      <rPr>
        <sz val="8"/>
        <color rgb="FF0C0A09"/>
        <rFont val="Consolas"/>
        <family val="3"/>
      </rPr>
      <t>USD 0.73/kg</t>
    </r>
    <r>
      <rPr>
        <sz val="7"/>
        <color rgb="FF78716C"/>
        <rFont val="Consolas"/>
        <family val="3"/>
      </rPr>
      <t>USD 0.0497/m²</t>
    </r>
  </si>
  <si>
    <r>
      <t>Waste</t>
    </r>
    <r>
      <rPr>
        <sz val="8"/>
        <color rgb="FF0C0A09"/>
        <rFont val="Consolas"/>
        <family val="3"/>
      </rPr>
      <t>USD 0.27/kg</t>
    </r>
    <r>
      <rPr>
        <sz val="7"/>
        <color rgb="FF78716C"/>
        <rFont val="Consolas"/>
        <family val="3"/>
      </rPr>
      <t>USD 0.0180/m²</t>
    </r>
  </si>
  <si>
    <r>
      <t>Total RM</t>
    </r>
    <r>
      <rPr>
        <sz val="8"/>
        <color rgb="FF0C0A09"/>
        <rFont val="Consolas"/>
        <family val="3"/>
      </rPr>
      <t>USD 2.68/kg</t>
    </r>
    <r>
      <rPr>
        <sz val="7"/>
        <color rgb="FF78716C"/>
        <rFont val="Consolas"/>
        <family val="3"/>
      </rPr>
      <t>USD 0.1820/m²</t>
    </r>
  </si>
  <si>
    <r>
      <t>Manufacturing &amp; Operating</t>
    </r>
    <r>
      <rPr>
        <sz val="8"/>
        <color rgb="FF0C0A09"/>
        <rFont val="Consolas"/>
        <family val="3"/>
      </rPr>
      <t>USD 1.20/kg</t>
    </r>
  </si>
  <si>
    <r>
      <t>PrePress</t>
    </r>
    <r>
      <rPr>
        <sz val="8"/>
        <color rgb="FF0C0A09"/>
        <rFont val="Consolas"/>
        <family val="3"/>
      </rPr>
      <t>USD 0.30/kg</t>
    </r>
    <r>
      <rPr>
        <sz val="7"/>
        <color rgb="FF78716C"/>
        <rFont val="Consolas"/>
        <family val="3"/>
      </rPr>
      <t>USD 0.0203/m²</t>
    </r>
  </si>
  <si>
    <r>
      <t>Transportation</t>
    </r>
    <r>
      <rPr>
        <sz val="8"/>
        <color rgb="FF0C0A09"/>
        <rFont val="Consolas"/>
        <family val="3"/>
      </rPr>
      <t>USD 0.50/kg</t>
    </r>
  </si>
  <si>
    <r>
      <t>Selling price</t>
    </r>
    <r>
      <rPr>
        <sz val="8"/>
        <color rgb="FF0C0A09"/>
        <rFont val="Consolas"/>
        <family val="3"/>
      </rPr>
      <t>USD 4.68/kg</t>
    </r>
    <r>
      <rPr>
        <sz val="7"/>
        <color rgb="FF78716C"/>
        <rFont val="Consolas"/>
        <family val="3"/>
      </rPr>
      <t>USD 0.3176/m²</t>
    </r>
  </si>
  <si>
    <t>Currency / kg</t>
  </si>
  <si>
    <t>Currency / m²</t>
  </si>
  <si>
    <t>Currency / 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</si>
</sst>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  <numFmt numFmtId="186" formatCode="#,##0\ &quot;Pcs&quot;"/>
  </numFmts>
  <fonts count="6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  <font>
      <b/>
      <sz val="11"/>
      <color rgb="FF000000"/>
      <name val="Trebuchet MS"/>
      <family val="2"/>
    </font>
    <font>
      <sz val="11"/>
      <color theme="1"/>
      <name val="Trebuchet MS"/>
      <family val="2"/>
    </font>
    <font>
      <sz val="14"/>
      <color rgb="FF0C0A09"/>
      <name val="Arial"/>
      <family val="2"/>
    </font>
    <font>
      <sz val="14"/>
      <color rgb="FF0C0A09"/>
      <name val="Segoe UI"/>
      <family val="2"/>
    </font>
    <font>
      <sz val="9"/>
      <color rgb="FF0C0A09"/>
      <name val="Segoe UI"/>
      <family val="2"/>
    </font>
    <font>
      <sz val="13.5"/>
      <color rgb="FF0C0A09"/>
      <name val="Arial"/>
      <family val="2"/>
    </font>
    <font>
      <sz val="8"/>
      <color rgb="FF78716C"/>
      <name val="Segoe UI"/>
      <family val="2"/>
    </font>
    <font>
      <sz val="8"/>
      <color rgb="FF0C0A09"/>
      <name val="Consolas"/>
      <family val="3"/>
    </font>
    <font>
      <sz val="7"/>
      <color rgb="FF78716C"/>
      <name val="Consolas"/>
      <family val="3"/>
    </font>
    <font>
      <sz val="8"/>
      <color rgb="FF0C0A09"/>
      <name val="Segoe UI"/>
      <family val="2"/>
    </font>
    <font>
      <sz val="8"/>
      <color rgb="FF0C0A09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6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/>
      <top/>
      <bottom style="medium">
        <color rgb="FFE7E5E4"/>
      </bottom>
      <diagonal/>
    </border>
    <border>
      <left/>
      <right/>
      <top style="medium">
        <color rgb="FFE7E5E4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78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2" fontId="0" fillId="2" borderId="0" xfId="0" applyNumberFormat="1" applyFill="1" applyAlignment="1">
      <alignment horizontal="center"/>
    </xf>
    <xf numFmtId="167" fontId="0" fillId="2" borderId="0" xfId="0" applyNumberFormat="1" applyFill="1"/>
    <xf numFmtId="168" fontId="0" fillId="2" borderId="0" xfId="0" applyNumberFormat="1" applyFill="1" applyAlignment="1">
      <alignment horizontal="center"/>
    </xf>
    <xf numFmtId="170" fontId="51" fillId="0" borderId="2" xfId="3" applyNumberFormat="1" applyFont="1" applyBorder="1" applyAlignment="1">
      <alignment horizontal="center" vertical="center"/>
    </xf>
    <xf numFmtId="0" fontId="52" fillId="0" borderId="2" xfId="0" applyFont="1" applyBorder="1" applyAlignment="1">
      <alignment horizontal="center"/>
    </xf>
    <xf numFmtId="0" fontId="52" fillId="0" borderId="2" xfId="0" applyFont="1" applyBorder="1"/>
    <xf numFmtId="186" fontId="51" fillId="0" borderId="2" xfId="3" applyNumberFormat="1" applyFont="1" applyBorder="1" applyAlignment="1">
      <alignment horizontal="center" vertical="center"/>
    </xf>
    <xf numFmtId="0" fontId="26" fillId="0" borderId="0" xfId="0" applyFont="1" applyAlignment="1">
      <alignment vertical="center" wrapText="1"/>
    </xf>
    <xf numFmtId="0" fontId="54" fillId="0" borderId="0" xfId="0" applyFont="1" applyAlignment="1">
      <alignment vertical="center" wrapText="1"/>
    </xf>
    <xf numFmtId="0" fontId="55" fillId="0" borderId="84" xfId="0" applyFont="1" applyBorder="1" applyAlignment="1">
      <alignment vertical="center" wrapText="1"/>
    </xf>
    <xf numFmtId="0" fontId="53" fillId="0" borderId="0" xfId="0" applyFont="1" applyAlignment="1">
      <alignment horizontal="center" vertical="center" wrapText="1"/>
    </xf>
    <xf numFmtId="0" fontId="10" fillId="0" borderId="0" xfId="0" applyFont="1" applyAlignment="1">
      <alignment horizontal="right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8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7" borderId="18" xfId="0" applyFill="1" applyBorder="1" applyAlignment="1">
      <alignment horizontal="left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 vertic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56" fillId="0" borderId="0" xfId="0" applyFont="1" applyAlignment="1">
      <alignment vertical="center" wrapText="1"/>
    </xf>
    <xf numFmtId="0" fontId="57" fillId="0" borderId="0" xfId="0" applyFont="1" applyAlignment="1">
      <alignment vertical="center" wrapText="1"/>
    </xf>
    <xf numFmtId="0" fontId="60" fillId="0" borderId="85" xfId="0" applyFont="1" applyBorder="1" applyAlignment="1">
      <alignment vertical="center" wrapText="1"/>
    </xf>
    <xf numFmtId="0" fontId="0" fillId="3" borderId="0" xfId="0" applyFont="1" applyFill="1"/>
    <xf numFmtId="0" fontId="0" fillId="0" borderId="0" xfId="0" applyFont="1"/>
    <xf numFmtId="0" fontId="0" fillId="0" borderId="71" xfId="0" applyFont="1" applyBorder="1"/>
    <xf numFmtId="0" fontId="1" fillId="0" borderId="1" xfId="0" applyFont="1" applyBorder="1"/>
    <xf numFmtId="0" fontId="0" fillId="3" borderId="1" xfId="0" applyFont="1" applyFill="1" applyBorder="1"/>
    <xf numFmtId="0" fontId="55" fillId="3" borderId="0" xfId="0" applyFont="1" applyFill="1" applyBorder="1" applyAlignment="1">
      <alignment vertical="center" wrapText="1"/>
    </xf>
    <xf numFmtId="0" fontId="0" fillId="0" borderId="85" xfId="0" applyFont="1" applyBorder="1"/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1958340</xdr:colOff>
      <xdr:row>14</xdr:row>
      <xdr:rowOff>144780</xdr:rowOff>
    </xdr:from>
    <xdr:to>
      <xdr:col>12</xdr:col>
      <xdr:colOff>250288</xdr:colOff>
      <xdr:row>44</xdr:row>
      <xdr:rowOff>164598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387C65-B803-B29C-F82F-4C251C953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06340" y="3078480"/>
          <a:ext cx="5249008" cy="550621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opLeftCell="A59" zoomScale="80" zoomScaleNormal="80" workbookViewId="0">
      <selection activeCell="G75" sqref="G75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88" t="s">
        <v>153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85" t="s">
        <v>50</v>
      </c>
      <c r="B3" s="285"/>
      <c r="C3" s="289" t="s">
        <v>130</v>
      </c>
      <c r="D3" s="289"/>
      <c r="E3" s="289"/>
      <c r="F3" s="9"/>
      <c r="G3" s="285" t="s">
        <v>56</v>
      </c>
      <c r="H3" s="285"/>
      <c r="I3" s="289" t="s">
        <v>129</v>
      </c>
      <c r="J3" s="289"/>
      <c r="K3" s="289"/>
      <c r="L3" s="289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85" t="s">
        <v>51</v>
      </c>
      <c r="B5" s="285"/>
      <c r="C5" s="286" t="s">
        <v>0</v>
      </c>
      <c r="D5" s="286"/>
      <c r="E5" s="286"/>
      <c r="F5" s="9"/>
      <c r="G5" s="285" t="s">
        <v>53</v>
      </c>
      <c r="H5" s="285"/>
      <c r="I5" s="287">
        <v>10000</v>
      </c>
      <c r="J5" s="287"/>
      <c r="K5" s="286" t="s">
        <v>2</v>
      </c>
      <c r="L5" s="286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90" t="s">
        <v>54</v>
      </c>
      <c r="B9" s="290"/>
      <c r="C9" s="290"/>
      <c r="O9" s="20"/>
      <c r="P9" s="20"/>
    </row>
    <row r="10" spans="1:18" ht="15.6" x14ac:dyDescent="0.3">
      <c r="A10" s="290" t="s">
        <v>55</v>
      </c>
      <c r="B10" s="290"/>
      <c r="C10" s="290"/>
      <c r="N10" s="20"/>
      <c r="O10" s="291"/>
      <c r="P10" s="291"/>
      <c r="Q10" s="44"/>
    </row>
    <row r="11" spans="1:18" ht="15" thickBot="1" x14ac:dyDescent="0.35"/>
    <row r="12" spans="1:18" ht="15" thickBot="1" x14ac:dyDescent="0.35">
      <c r="A12" s="292" t="s">
        <v>67</v>
      </c>
      <c r="B12" s="293"/>
      <c r="C12" s="294"/>
      <c r="E12" s="2"/>
      <c r="F12" s="2"/>
      <c r="G12" s="2"/>
      <c r="I12" s="295"/>
      <c r="J12" s="295"/>
      <c r="K12" s="295"/>
      <c r="M12" s="295"/>
      <c r="N12" s="295"/>
    </row>
    <row r="13" spans="1:18" x14ac:dyDescent="0.3">
      <c r="A13" s="296" t="s">
        <v>8</v>
      </c>
      <c r="B13" s="297"/>
      <c r="C13" s="135">
        <v>250</v>
      </c>
      <c r="E13" s="298"/>
      <c r="F13" s="298"/>
      <c r="G13" s="21"/>
      <c r="I13" s="298"/>
      <c r="J13" s="298"/>
      <c r="K13" s="21"/>
    </row>
    <row r="14" spans="1:18" x14ac:dyDescent="0.3">
      <c r="A14" s="299" t="s">
        <v>9</v>
      </c>
      <c r="B14" s="300"/>
      <c r="C14" s="30">
        <v>100</v>
      </c>
      <c r="E14" s="298"/>
      <c r="F14" s="298"/>
      <c r="G14" s="21"/>
      <c r="I14" s="298"/>
      <c r="J14" s="298"/>
      <c r="K14" s="21"/>
      <c r="M14" s="298"/>
      <c r="N14" s="298"/>
      <c r="O14" s="21"/>
      <c r="Q14" s="21"/>
    </row>
    <row r="15" spans="1:18" x14ac:dyDescent="0.3">
      <c r="A15" s="299" t="s">
        <v>6</v>
      </c>
      <c r="B15" s="300"/>
      <c r="C15" s="31">
        <v>0</v>
      </c>
      <c r="E15" s="298"/>
      <c r="F15" s="298"/>
      <c r="G15" s="21"/>
      <c r="I15" s="4"/>
      <c r="J15" s="4"/>
      <c r="K15" s="131"/>
      <c r="M15" s="298"/>
      <c r="N15" s="298"/>
      <c r="O15" s="21"/>
      <c r="Q15" s="21"/>
    </row>
    <row r="16" spans="1:18" x14ac:dyDescent="0.3">
      <c r="A16" s="299" t="s">
        <v>10</v>
      </c>
      <c r="B16" s="300"/>
      <c r="C16" s="136">
        <v>1</v>
      </c>
      <c r="E16" s="4"/>
      <c r="F16" s="4"/>
      <c r="G16" s="131"/>
      <c r="I16" s="298"/>
      <c r="J16" s="298"/>
      <c r="K16" s="6"/>
      <c r="M16" s="298"/>
      <c r="N16" s="298"/>
    </row>
    <row r="17" spans="1:15" ht="15" thickBot="1" x14ac:dyDescent="0.35">
      <c r="A17" s="301" t="s">
        <v>7</v>
      </c>
      <c r="B17" s="302"/>
      <c r="C17" s="32">
        <v>0</v>
      </c>
      <c r="E17" s="298"/>
      <c r="F17" s="298"/>
      <c r="G17" s="6"/>
      <c r="M17" s="298"/>
      <c r="N17" s="298"/>
    </row>
    <row r="18" spans="1:15" x14ac:dyDescent="0.3">
      <c r="L18">
        <f>1000/L19</f>
        <v>12.787723785166239</v>
      </c>
      <c r="M18" s="298"/>
      <c r="N18" s="298"/>
    </row>
    <row r="19" spans="1:15" x14ac:dyDescent="0.3">
      <c r="L19">
        <f>F25*G25</f>
        <v>78.2</v>
      </c>
      <c r="M19" s="267"/>
      <c r="N19" s="267"/>
    </row>
    <row r="20" spans="1:15" x14ac:dyDescent="0.3">
      <c r="L20">
        <f>L19/1000</f>
        <v>7.8200000000000006E-2</v>
      </c>
      <c r="M20" s="267"/>
      <c r="N20" s="267"/>
    </row>
    <row r="21" spans="1:15" x14ac:dyDescent="0.3">
      <c r="C21" s="303"/>
      <c r="D21" s="53"/>
      <c r="E21" s="303"/>
      <c r="F21" s="303"/>
      <c r="G21" s="303"/>
      <c r="H21" s="303"/>
    </row>
    <row r="22" spans="1:15" x14ac:dyDescent="0.3">
      <c r="C22" s="303"/>
      <c r="D22" s="53"/>
      <c r="E22" s="303"/>
      <c r="F22" s="303"/>
      <c r="G22" s="303"/>
      <c r="H22" s="303"/>
    </row>
    <row r="23" spans="1:15" ht="15" thickBot="1" x14ac:dyDescent="0.35">
      <c r="C23" s="304"/>
      <c r="D23" s="53"/>
      <c r="E23" s="304"/>
      <c r="F23" s="304"/>
      <c r="G23" s="304"/>
      <c r="H23" s="304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50</v>
      </c>
      <c r="E25" s="175">
        <f>VLOOKUP(B25,Material[],2,FALSE)</f>
        <v>0.92</v>
      </c>
      <c r="F25" s="175">
        <f>IF(A25="Substrate",D25*E25,C25*D25)</f>
        <v>46</v>
      </c>
      <c r="G25" s="176">
        <v>1.7</v>
      </c>
      <c r="H25" s="177">
        <v>0</v>
      </c>
      <c r="I25" s="178">
        <f>(IF(A25="Substrate",(F25*G25)/1000,(D25*G25)/1000))*(1+table1713[[#This Row],[Waste
%]])</f>
        <v>7.8200000000000006E-2</v>
      </c>
      <c r="J25" s="179">
        <f>IF(A25="Substrate",(($I$36*F25)/$B$37)*(1+H25),(($I$36*D25)/$B$37)*(1+H25))</f>
        <v>9584.3317012188782</v>
      </c>
      <c r="K25" s="180">
        <f>table1713[[#This Row],[Total GSM]]/$B$37</f>
        <v>0.95843317012188778</v>
      </c>
      <c r="O25" t="s">
        <v>337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1187.6237108032087</v>
      </c>
      <c r="K26" s="180">
        <f>table1713[[#This Row],[Total GSM]]/$B$37</f>
        <v>4.1566829878112305E-2</v>
      </c>
      <c r="M26" s="101"/>
      <c r="O26" t="s">
        <v>59</v>
      </c>
    </row>
    <row r="27" spans="1:15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  <c r="O27" t="s">
        <v>338</v>
      </c>
    </row>
    <row r="28" spans="1:15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5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5" ht="15" thickBot="1" x14ac:dyDescent="0.35">
      <c r="A31" s="306" t="s">
        <v>38</v>
      </c>
      <c r="B31" s="307"/>
      <c r="C31" s="307"/>
      <c r="D31" s="307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1187.6237108032087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73" t="s">
        <v>40</v>
      </c>
      <c r="B35" s="275">
        <f>B37/B36</f>
        <v>0.92306952591595348</v>
      </c>
      <c r="C35" s="308" t="s">
        <v>66</v>
      </c>
      <c r="D35" s="308"/>
      <c r="E35" s="134">
        <f>IF(C5="Roll", (1000/(C13*C14*B37*0.001*0.001))*C16, IF(C5="Sleeve", (1000/(G14*G15*B37*0.001*0.001))*1, IF(C5="Bag or Pouch", (1000/(K14*K13*B37*0.001*0.001))*1, "")))</f>
        <v>833.42014793207625</v>
      </c>
      <c r="F35" s="308" t="s">
        <v>65</v>
      </c>
      <c r="G35" s="308"/>
      <c r="H35" s="308"/>
      <c r="I35">
        <f>IF(C5="Roll", ((C13*C17)+C15), IF(C5="Sleeve", ((G14*G17)+G16), IF(C5="Bag or Pouch", ((K14*K16)+K15), "")))</f>
        <v>0</v>
      </c>
    </row>
    <row r="36" spans="1:13" x14ac:dyDescent="0.3">
      <c r="A36" s="273" t="s">
        <v>82</v>
      </c>
      <c r="B36" s="276">
        <f>SUMIFS(table1713[Micron],table1713[Type],"substrate")+SUMIFS(table1713[Total GSM],table1713[Type],"Ink")+SUMIFS(table1713[Total GSM],table1713[Type],"Adhesive")</f>
        <v>51.994999999999997</v>
      </c>
      <c r="C36" s="308" t="s">
        <v>59</v>
      </c>
      <c r="D36" s="308"/>
      <c r="E36" s="15">
        <f>1000/E35</f>
        <v>1.199875</v>
      </c>
      <c r="F36" s="308" t="s">
        <v>88</v>
      </c>
      <c r="G36" s="308"/>
      <c r="H36" s="308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73" t="s">
        <v>15</v>
      </c>
      <c r="B37" s="276">
        <f>SUM(F25:F30)</f>
        <v>47.994999999999997</v>
      </c>
      <c r="C37" s="309" t="s">
        <v>60</v>
      </c>
      <c r="D37" s="309"/>
      <c r="E37" s="274">
        <f>1000/B37</f>
        <v>20.835503698301906</v>
      </c>
      <c r="F37" s="308" t="s">
        <v>89</v>
      </c>
      <c r="G37" s="308"/>
      <c r="H37" s="308"/>
      <c r="I37" s="38">
        <f>(I36*1000)/E36/1000</f>
        <v>8334.2014793207618</v>
      </c>
    </row>
    <row r="38" spans="1:13" x14ac:dyDescent="0.3">
      <c r="A38" s="273" t="s">
        <v>83</v>
      </c>
      <c r="B38" s="16">
        <f>SUM(I25:I30)+I31</f>
        <v>0.10741250000000001</v>
      </c>
      <c r="C38" s="308" t="s">
        <v>86</v>
      </c>
      <c r="D38" s="308"/>
      <c r="E38" s="15" t="e">
        <f>(E37/I35)*1000</f>
        <v>#DIV/0!</v>
      </c>
      <c r="F38" s="308" t="s">
        <v>135</v>
      </c>
      <c r="G38" s="308"/>
      <c r="H38" s="308"/>
      <c r="I38" s="38" t="e">
        <f>I36*E38</f>
        <v>#DIV/0!</v>
      </c>
    </row>
    <row r="39" spans="1:13" x14ac:dyDescent="0.3">
      <c r="C39" s="308" t="s">
        <v>151</v>
      </c>
      <c r="D39" s="308"/>
      <c r="E39" s="15">
        <f>IF(C5="Roll", ((E37/C13)*1000), IF(C5="Sleeve", ((E37/G14)*1000), IF(C5="Bag or Pouch", ((E37/K13)*1000), "")))</f>
        <v>83.342014793207625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0" t="s">
        <v>92</v>
      </c>
      <c r="B44" s="311"/>
      <c r="C44" s="312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05" t="s">
        <v>62</v>
      </c>
      <c r="B46" s="305"/>
      <c r="C46" s="305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05" t="s">
        <v>63</v>
      </c>
      <c r="B47" s="305"/>
      <c r="C47" s="305"/>
      <c r="D47" s="127">
        <f>IF(C5="Roll",(((D46/2)^2-(D44/2)^2)*PI()*C13*B35/1000000),IF(C5="Sleeve",(((D46/2)^2-(D44/2)^2)*PI()*G14*B35/1000000),IF(C5="Bag or Pouch",(((D46/2)^2-(D44/2)^2)*PI()*K13*B35/1000000))))</f>
        <v>59.633717188336227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05" t="s">
        <v>48</v>
      </c>
      <c r="B48" s="305"/>
      <c r="C48" s="305"/>
      <c r="D48" s="128">
        <f>IF(C5="Roll",((D47*1000/B35)/((B36/10000)*(C13/10))/100),IF(C5="Sleeve",((D47*1000/B35)/((B36/10000)*(G14/10))/100),IF(C5="Bag or Pouch",((D47*1000/B35)/((B36/10000)*(K13/10))/100))))</f>
        <v>4969.9941400842772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05" t="s">
        <v>85</v>
      </c>
      <c r="B49" s="305"/>
      <c r="C49" s="305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05" t="s">
        <v>64</v>
      </c>
      <c r="B50" s="305"/>
      <c r="C50" s="305"/>
      <c r="D50" s="98">
        <f>(D47*E35)</f>
        <v>49699.941400842778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05" t="s">
        <v>93</v>
      </c>
      <c r="B52" s="305"/>
      <c r="C52" s="305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05" t="s">
        <v>49</v>
      </c>
      <c r="B53" s="305"/>
      <c r="C53" s="305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662.77051272480605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14.691902430312684</v>
      </c>
      <c r="F60" s="204">
        <v>300</v>
      </c>
      <c r="G60" s="207">
        <f>IFERROR(F60*E60,"")</f>
        <v>4407.5707290938053</v>
      </c>
      <c r="H60" s="315">
        <f>SUMIF($A$60:$A$69,"true",$G$60:$G$69)</f>
        <v>4407.5707290938053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 t="e">
        <f t="shared" ref="E61:E66" si="0">IF(A61=TRUE, D61+(OQM/C61/60),"")</f>
        <v>#DIV/0!</v>
      </c>
      <c r="F61" s="205">
        <v>300</v>
      </c>
      <c r="G61" s="208" t="str">
        <f t="shared" ref="G61:G69" si="1">IFERROR(F61*E61,"")</f>
        <v/>
      </c>
      <c r="H61" s="316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 t="e">
        <f t="shared" si="0"/>
        <v>#DIV/0!</v>
      </c>
      <c r="F62" s="205">
        <v>50</v>
      </c>
      <c r="G62" s="208" t="str">
        <f t="shared" si="1"/>
        <v/>
      </c>
      <c r="H62" s="316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 t="e">
        <f t="shared" si="0"/>
        <v>#DIV/0!</v>
      </c>
      <c r="F63" s="205">
        <v>100</v>
      </c>
      <c r="G63" s="208" t="str">
        <f t="shared" si="1"/>
        <v/>
      </c>
      <c r="H63" s="316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 t="e">
        <f t="shared" si="0"/>
        <v>#DIV/0!</v>
      </c>
      <c r="F64" s="205">
        <v>100</v>
      </c>
      <c r="G64" s="208" t="str">
        <f t="shared" si="1"/>
        <v/>
      </c>
      <c r="H64" s="316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 t="e">
        <f t="shared" si="0"/>
        <v>#DIV/0!</v>
      </c>
      <c r="F65" s="205">
        <v>100</v>
      </c>
      <c r="G65" s="208" t="str">
        <f t="shared" si="1"/>
        <v/>
      </c>
      <c r="H65" s="316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 t="e">
        <f t="shared" si="0"/>
        <v>#DIV/0!</v>
      </c>
      <c r="F66" s="205">
        <v>50</v>
      </c>
      <c r="G66" s="208" t="str">
        <f t="shared" si="1"/>
        <v/>
      </c>
      <c r="H66" s="316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316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316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317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0.44075707290938054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18"/>
      <c r="C73" s="319" t="s">
        <v>41</v>
      </c>
      <c r="D73" s="80" t="s">
        <v>91</v>
      </c>
      <c r="E73" s="321" t="s">
        <v>42</v>
      </c>
      <c r="F73" s="323" t="s">
        <v>43</v>
      </c>
      <c r="G73" s="323" t="s">
        <v>107</v>
      </c>
      <c r="H73" s="313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18"/>
      <c r="C74" s="320"/>
      <c r="D74" s="181">
        <v>0.3</v>
      </c>
      <c r="E74" s="322"/>
      <c r="F74" s="324"/>
      <c r="G74" s="324"/>
      <c r="H74" s="314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2.2379935409938536</v>
      </c>
      <c r="D75" s="183">
        <f>C75*D74</f>
        <v>0.67139806229815602</v>
      </c>
      <c r="E75" s="184">
        <v>0.1</v>
      </c>
      <c r="F75" s="184">
        <v>0.2</v>
      </c>
      <c r="G75" s="185">
        <f>H70</f>
        <v>0.44075707290938054</v>
      </c>
      <c r="H75" s="186">
        <f>SUM(C75:G75)</f>
        <v>3.6501486762013902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2.6853125000000002</v>
      </c>
      <c r="D76" s="91">
        <f>(D75/$E$35)*1000</f>
        <v>0.80559375</v>
      </c>
      <c r="E76" s="91">
        <f>(E75/$E$35)*1000</f>
        <v>0.11998750000000001</v>
      </c>
      <c r="F76" s="91">
        <f>(F75/$E$35)*1000</f>
        <v>0.23997500000000002</v>
      </c>
      <c r="G76" s="91">
        <f>(G75/$E$35)*1000</f>
        <v>0.52885339285714306</v>
      </c>
      <c r="H76" s="188">
        <f>SUM(C76:G76)</f>
        <v>4.3797221428571431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0.10741250000000001</v>
      </c>
      <c r="D77" s="92">
        <f t="shared" ref="D77:G77" si="2">(D75/$E$37)</f>
        <v>3.2223749999999995E-2</v>
      </c>
      <c r="E77" s="92">
        <f t="shared" si="2"/>
        <v>4.7994999999999999E-3</v>
      </c>
      <c r="F77" s="92">
        <f t="shared" si="2"/>
        <v>9.5989999999999999E-3</v>
      </c>
      <c r="G77" s="92">
        <f t="shared" si="2"/>
        <v>2.1154135714285718E-2</v>
      </c>
      <c r="H77" s="189">
        <f>SUM(C77:G77)</f>
        <v>0.17518888571428576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2.6853125000000002E-2</v>
      </c>
      <c r="D78" s="92">
        <f>(D75/$E$39)</f>
        <v>8.0559374999999989E-3</v>
      </c>
      <c r="E78" s="92">
        <f>(E75/$E$39)</f>
        <v>1.199875E-3</v>
      </c>
      <c r="F78" s="92">
        <f>(F75/$E$39)</f>
        <v>2.39975E-3</v>
      </c>
      <c r="G78" s="92">
        <f>(G75/$E$39)</f>
        <v>5.2885339285714296E-3</v>
      </c>
      <c r="H78" s="189">
        <f>SUM(C78:G78)</f>
        <v>4.379722142857144E-2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13.426562500000001</v>
      </c>
      <c r="D79" s="191">
        <f>D78*500</f>
        <v>4.0279687499999994</v>
      </c>
      <c r="E79" s="191">
        <f t="shared" ref="E79:G79" si="3">E78*500</f>
        <v>0.59993750000000001</v>
      </c>
      <c r="F79" s="191">
        <f t="shared" si="3"/>
        <v>1.199875</v>
      </c>
      <c r="G79" s="191">
        <f t="shared" si="3"/>
        <v>2.6442669642857148</v>
      </c>
      <c r="H79" s="192">
        <f>SUM(C79:G79)</f>
        <v>21.898610714285716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329"/>
      <c r="I82" s="329"/>
      <c r="J82" s="329"/>
      <c r="K82" s="41"/>
      <c r="L82" s="41"/>
      <c r="M82" s="41"/>
      <c r="N82" s="41"/>
    </row>
    <row r="83" spans="1:25" ht="18" x14ac:dyDescent="0.35">
      <c r="A83" s="54"/>
      <c r="B83" s="330" t="s">
        <v>136</v>
      </c>
      <c r="C83" s="330"/>
      <c r="D83" s="330"/>
      <c r="E83" s="330"/>
      <c r="F83" s="330"/>
      <c r="G83" s="330"/>
      <c r="H83" s="330"/>
      <c r="I83" s="330"/>
      <c r="J83" s="330"/>
      <c r="K83" s="330"/>
      <c r="L83" s="330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31"/>
      <c r="I88" s="331"/>
      <c r="J88" s="213"/>
      <c r="K88" s="331"/>
      <c r="L88" s="331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332" t="s">
        <v>159</v>
      </c>
      <c r="R92" s="332"/>
      <c r="S92" s="112">
        <f>H75</f>
        <v>3.6501486762013902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333" t="s">
        <v>148</v>
      </c>
      <c r="U94" s="334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2.678750613903234</v>
      </c>
      <c r="S95" s="211">
        <f>R95/S92</f>
        <v>0.7338743847253193</v>
      </c>
      <c r="T95" s="325">
        <f>R96-R95</f>
        <v>-1.1330363281889482</v>
      </c>
      <c r="U95" s="327">
        <f>(R96-R95)/R95</f>
        <v>-0.42297193412043299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0.42346611681660823</v>
      </c>
      <c r="T96" s="326"/>
      <c r="U96" s="327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0.97139806229815617</v>
      </c>
      <c r="S97" s="218">
        <f>R97/S92</f>
        <v>0.2661256152746807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2.1044343904871043</v>
      </c>
      <c r="S98" s="211">
        <f>R98/S92</f>
        <v>0.57653388318339172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-0.71998727646534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328" t="s">
        <v>145</v>
      </c>
      <c r="C122" s="328"/>
      <c r="D122" s="328"/>
      <c r="E122" s="140">
        <f>E121/C85</f>
        <v>0.919047619047619</v>
      </c>
    </row>
    <row r="123" spans="2:6" x14ac:dyDescent="0.3">
      <c r="B123" s="328" t="s">
        <v>142</v>
      </c>
      <c r="C123" s="328"/>
      <c r="D123" s="328"/>
      <c r="E123" s="159">
        <f>(E122-H70)/H70</f>
        <v>1.0851568256888184</v>
      </c>
    </row>
  </sheetData>
  <mergeCells count="73"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M14:N14"/>
    <mergeCell ref="A15:B15"/>
    <mergeCell ref="E15:F15"/>
    <mergeCell ref="M15:N15"/>
    <mergeCell ref="A16:B16"/>
    <mergeCell ref="I16:J16"/>
    <mergeCell ref="M16:N16"/>
    <mergeCell ref="A13:B13"/>
    <mergeCell ref="E13:F13"/>
    <mergeCell ref="I13:J13"/>
    <mergeCell ref="A14:B14"/>
    <mergeCell ref="E14:F14"/>
    <mergeCell ref="I14:J14"/>
    <mergeCell ref="A9:C9"/>
    <mergeCell ref="A10:C10"/>
    <mergeCell ref="O10:P10"/>
    <mergeCell ref="A12:C12"/>
    <mergeCell ref="I12:K12"/>
    <mergeCell ref="M12:N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64" zoomScaleNormal="100" workbookViewId="0">
      <selection activeCell="I31" sqref="I3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88" t="s">
        <v>153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85" t="s">
        <v>50</v>
      </c>
      <c r="B3" s="285"/>
      <c r="C3" s="289" t="s">
        <v>130</v>
      </c>
      <c r="D3" s="289"/>
      <c r="E3" s="289"/>
      <c r="F3" s="9"/>
      <c r="G3" s="285" t="s">
        <v>56</v>
      </c>
      <c r="H3" s="285"/>
      <c r="I3" s="289" t="s">
        <v>129</v>
      </c>
      <c r="J3" s="289"/>
      <c r="K3" s="289"/>
      <c r="L3" s="289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85" t="s">
        <v>51</v>
      </c>
      <c r="B5" s="285"/>
      <c r="C5" s="286" t="s">
        <v>0</v>
      </c>
      <c r="D5" s="286"/>
      <c r="E5" s="286"/>
      <c r="F5" s="9"/>
      <c r="G5" s="285" t="s">
        <v>53</v>
      </c>
      <c r="H5" s="285"/>
      <c r="I5" s="287">
        <v>10000</v>
      </c>
      <c r="J5" s="287"/>
      <c r="K5" s="286" t="s">
        <v>2</v>
      </c>
      <c r="L5" s="286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90" t="s">
        <v>54</v>
      </c>
      <c r="B9" s="290"/>
      <c r="C9" s="290"/>
      <c r="O9" s="20"/>
      <c r="P9" s="20"/>
    </row>
    <row r="10" spans="1:18" ht="15.6" x14ac:dyDescent="0.3">
      <c r="A10" s="290" t="s">
        <v>55</v>
      </c>
      <c r="B10" s="290"/>
      <c r="C10" s="290"/>
      <c r="N10" s="20"/>
      <c r="O10" s="291"/>
      <c r="P10" s="291"/>
      <c r="Q10" s="44"/>
    </row>
    <row r="11" spans="1:18" ht="15" thickBot="1" x14ac:dyDescent="0.35"/>
    <row r="12" spans="1:18" ht="15" thickBot="1" x14ac:dyDescent="0.35">
      <c r="A12" s="292" t="s">
        <v>67</v>
      </c>
      <c r="B12" s="293"/>
      <c r="C12" s="294"/>
      <c r="E12" s="2"/>
      <c r="F12" s="2"/>
      <c r="G12" s="2"/>
      <c r="I12" s="295"/>
      <c r="J12" s="295"/>
      <c r="K12" s="295"/>
      <c r="M12" s="295"/>
      <c r="N12" s="295"/>
    </row>
    <row r="13" spans="1:18" x14ac:dyDescent="0.3">
      <c r="A13" s="296" t="s">
        <v>8</v>
      </c>
      <c r="B13" s="297"/>
      <c r="C13" s="135">
        <v>250</v>
      </c>
      <c r="E13" s="298"/>
      <c r="F13" s="298"/>
      <c r="G13" s="21"/>
      <c r="I13" s="298"/>
      <c r="J13" s="298"/>
      <c r="K13" s="21"/>
    </row>
    <row r="14" spans="1:18" x14ac:dyDescent="0.3">
      <c r="A14" s="299" t="s">
        <v>9</v>
      </c>
      <c r="B14" s="300"/>
      <c r="C14" s="30">
        <v>100</v>
      </c>
      <c r="E14" s="298"/>
      <c r="F14" s="298"/>
      <c r="G14" s="21"/>
      <c r="I14" s="298"/>
      <c r="J14" s="298"/>
      <c r="K14" s="21"/>
      <c r="M14" s="298"/>
      <c r="N14" s="298"/>
      <c r="O14" s="21"/>
      <c r="Q14" s="21"/>
    </row>
    <row r="15" spans="1:18" x14ac:dyDescent="0.3">
      <c r="A15" s="299" t="s">
        <v>6</v>
      </c>
      <c r="B15" s="300"/>
      <c r="C15" s="31">
        <v>20</v>
      </c>
      <c r="E15" s="298"/>
      <c r="F15" s="298"/>
      <c r="G15" s="21"/>
      <c r="I15" s="4"/>
      <c r="J15" s="4"/>
      <c r="K15" s="131"/>
      <c r="M15" s="298"/>
      <c r="N15" s="298"/>
      <c r="O15" s="21"/>
      <c r="Q15" s="21"/>
    </row>
    <row r="16" spans="1:18" x14ac:dyDescent="0.3">
      <c r="A16" s="299" t="s">
        <v>10</v>
      </c>
      <c r="B16" s="300"/>
      <c r="C16" s="136">
        <v>1</v>
      </c>
      <c r="E16" s="4"/>
      <c r="F16" s="4"/>
      <c r="G16" s="131"/>
      <c r="I16" s="298"/>
      <c r="J16" s="298"/>
      <c r="K16" s="6"/>
      <c r="M16" s="298"/>
      <c r="N16" s="298"/>
    </row>
    <row r="17" spans="1:14" ht="15" thickBot="1" x14ac:dyDescent="0.35">
      <c r="A17" s="301" t="s">
        <v>7</v>
      </c>
      <c r="B17" s="302"/>
      <c r="C17" s="32">
        <v>4</v>
      </c>
      <c r="E17" s="298"/>
      <c r="F17" s="298"/>
      <c r="G17" s="6"/>
      <c r="M17" s="298"/>
      <c r="N17" s="298"/>
    </row>
    <row r="18" spans="1:14" x14ac:dyDescent="0.3">
      <c r="M18" s="298"/>
      <c r="N18" s="298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303"/>
      <c r="D21" s="53"/>
      <c r="E21" s="303"/>
      <c r="F21" s="303"/>
      <c r="G21" s="303"/>
      <c r="H21" s="303"/>
    </row>
    <row r="22" spans="1:14" x14ac:dyDescent="0.3">
      <c r="C22" s="303"/>
      <c r="D22" s="53"/>
      <c r="E22" s="303"/>
      <c r="F22" s="303"/>
      <c r="G22" s="303"/>
      <c r="H22" s="303"/>
    </row>
    <row r="23" spans="1:14" ht="15" thickBot="1" x14ac:dyDescent="0.35">
      <c r="C23" s="304"/>
      <c r="D23" s="53"/>
      <c r="E23" s="304"/>
      <c r="F23" s="304"/>
      <c r="G23" s="304"/>
      <c r="H23" s="304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306" t="s">
        <v>38</v>
      </c>
      <c r="B31" s="307"/>
      <c r="C31" s="307"/>
      <c r="D31" s="307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308" t="s">
        <v>66</v>
      </c>
      <c r="D35" s="308"/>
      <c r="E35" s="134">
        <f>IF(C5="Roll", (1000/(C13*C14*B37*0.001*0.001))*C16, IF(C5="Sleeve", (1000/(G14*G15*B37*0.001*0.001))*1, IF(C5="Bag or Pouch", (1000/(K14*K13*B37*0.001*0.001))*1, "")))</f>
        <v>346.02076124567475</v>
      </c>
      <c r="F35" s="308" t="s">
        <v>65</v>
      </c>
      <c r="G35" s="308"/>
      <c r="H35" s="308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308" t="s">
        <v>59</v>
      </c>
      <c r="D36" s="308"/>
      <c r="E36" s="15">
        <f>1000/E35</f>
        <v>2.89</v>
      </c>
      <c r="F36" s="308" t="s">
        <v>88</v>
      </c>
      <c r="G36" s="308"/>
      <c r="H36" s="308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308" t="s">
        <v>60</v>
      </c>
      <c r="D37" s="308"/>
      <c r="E37" s="15">
        <f>1000/B37</f>
        <v>8.6505190311418687</v>
      </c>
      <c r="F37" s="308" t="s">
        <v>89</v>
      </c>
      <c r="G37" s="308"/>
      <c r="H37" s="308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308" t="s">
        <v>86</v>
      </c>
      <c r="D38" s="308"/>
      <c r="E38" s="15">
        <f>(E37/I35)*1000</f>
        <v>8.4809010109234002</v>
      </c>
      <c r="F38" s="308" t="s">
        <v>135</v>
      </c>
      <c r="G38" s="308"/>
      <c r="H38" s="308"/>
      <c r="I38" s="38">
        <f>I36*E38</f>
        <v>84809.010109234005</v>
      </c>
    </row>
    <row r="39" spans="1:13" x14ac:dyDescent="0.3">
      <c r="C39" s="308" t="s">
        <v>151</v>
      </c>
      <c r="D39" s="308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0" t="s">
        <v>92</v>
      </c>
      <c r="B44" s="311"/>
      <c r="C44" s="312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05" t="s">
        <v>62</v>
      </c>
      <c r="B46" s="305"/>
      <c r="C46" s="305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05" t="s">
        <v>63</v>
      </c>
      <c r="B47" s="305"/>
      <c r="C47" s="305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05" t="s">
        <v>48</v>
      </c>
      <c r="B48" s="305"/>
      <c r="C48" s="305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05" t="s">
        <v>85</v>
      </c>
      <c r="B49" s="305"/>
      <c r="C49" s="305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05" t="s">
        <v>64</v>
      </c>
      <c r="B50" s="305"/>
      <c r="C50" s="305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05" t="s">
        <v>93</v>
      </c>
      <c r="B52" s="305"/>
      <c r="C52" s="305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05" t="s">
        <v>49</v>
      </c>
      <c r="B53" s="305"/>
      <c r="C53" s="305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315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316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316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316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316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316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316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316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316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317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18"/>
      <c r="C73" s="319" t="s">
        <v>41</v>
      </c>
      <c r="D73" s="80" t="s">
        <v>91</v>
      </c>
      <c r="E73" s="321" t="s">
        <v>42</v>
      </c>
      <c r="F73" s="323" t="s">
        <v>43</v>
      </c>
      <c r="G73" s="323" t="s">
        <v>107</v>
      </c>
      <c r="H73" s="313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18"/>
      <c r="C74" s="320"/>
      <c r="D74" s="181">
        <v>0.3</v>
      </c>
      <c r="E74" s="322"/>
      <c r="F74" s="324"/>
      <c r="G74" s="324"/>
      <c r="H74" s="314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329"/>
      <c r="I82" s="329"/>
      <c r="J82" s="329"/>
      <c r="K82" s="41"/>
      <c r="L82" s="41"/>
      <c r="M82" s="41"/>
      <c r="N82" s="41"/>
    </row>
    <row r="83" spans="1:25" ht="18" x14ac:dyDescent="0.35">
      <c r="A83" s="54"/>
      <c r="B83" s="330" t="s">
        <v>136</v>
      </c>
      <c r="C83" s="330"/>
      <c r="D83" s="330"/>
      <c r="E83" s="330"/>
      <c r="F83" s="330"/>
      <c r="G83" s="330"/>
      <c r="H83" s="330"/>
      <c r="I83" s="330"/>
      <c r="J83" s="330"/>
      <c r="K83" s="330"/>
      <c r="L83" s="330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31"/>
      <c r="I88" s="331"/>
      <c r="J88" s="213"/>
      <c r="K88" s="331"/>
      <c r="L88" s="331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332" t="s">
        <v>159</v>
      </c>
      <c r="R92" s="332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333" t="s">
        <v>148</v>
      </c>
      <c r="U94" s="334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325">
        <f>R96-R95</f>
        <v>-6.8260190812196253E-2</v>
      </c>
      <c r="U95" s="327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326"/>
      <c r="U96" s="327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328" t="s">
        <v>145</v>
      </c>
      <c r="C122" s="328"/>
      <c r="D122" s="328"/>
      <c r="E122" s="140">
        <f>E121/C85</f>
        <v>0.919047619047619</v>
      </c>
    </row>
    <row r="123" spans="2:6" x14ac:dyDescent="0.3">
      <c r="B123" s="328" t="s">
        <v>142</v>
      </c>
      <c r="C123" s="328"/>
      <c r="D123" s="328"/>
      <c r="E123" s="159">
        <f>(E122-H70)/H70</f>
        <v>-2.6611699687135438E-2</v>
      </c>
    </row>
  </sheetData>
  <mergeCells count="73"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C36:D36"/>
    <mergeCell ref="F38:H38"/>
    <mergeCell ref="C37:D37"/>
    <mergeCell ref="F37:H37"/>
    <mergeCell ref="F36:H36"/>
    <mergeCell ref="C38:D38"/>
    <mergeCell ref="C21:C23"/>
    <mergeCell ref="A31:D31"/>
    <mergeCell ref="C35:D35"/>
    <mergeCell ref="E21:E23"/>
    <mergeCell ref="F21:F23"/>
    <mergeCell ref="F35:H35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2:C12"/>
    <mergeCell ref="I12:K12"/>
    <mergeCell ref="M12:N12"/>
    <mergeCell ref="E13:F13"/>
    <mergeCell ref="I13:J13"/>
    <mergeCell ref="A1:L1"/>
    <mergeCell ref="A3:B3"/>
    <mergeCell ref="C3:E3"/>
    <mergeCell ref="G3:H3"/>
    <mergeCell ref="I3:L3"/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3E513-15A0-4FE8-A31E-37EBAF26C5B4}">
  <dimension ref="C5:C14"/>
  <sheetViews>
    <sheetView workbookViewId="0">
      <selection activeCell="F7" sqref="F7"/>
    </sheetView>
  </sheetViews>
  <sheetFormatPr defaultRowHeight="14.4" x14ac:dyDescent="0.3"/>
  <cols>
    <col min="3" max="3" width="27.33203125" customWidth="1"/>
  </cols>
  <sheetData>
    <row r="5" spans="3:3" ht="17.399999999999999" x14ac:dyDescent="0.3">
      <c r="C5" s="368" t="s">
        <v>341</v>
      </c>
    </row>
    <row r="6" spans="3:3" x14ac:dyDescent="0.3">
      <c r="C6" s="272"/>
    </row>
    <row r="7" spans="3:3" x14ac:dyDescent="0.3">
      <c r="C7" s="369" t="s">
        <v>357</v>
      </c>
    </row>
    <row r="8" spans="3:3" ht="21.6" x14ac:dyDescent="0.3">
      <c r="C8" s="369" t="s">
        <v>358</v>
      </c>
    </row>
    <row r="9" spans="3:3" ht="15" thickBot="1" x14ac:dyDescent="0.35">
      <c r="C9" s="369" t="s">
        <v>359</v>
      </c>
    </row>
    <row r="10" spans="3:3" ht="21" x14ac:dyDescent="0.3">
      <c r="C10" s="370" t="s">
        <v>360</v>
      </c>
    </row>
    <row r="11" spans="3:3" ht="21.6" x14ac:dyDescent="0.3">
      <c r="C11" s="369" t="s">
        <v>361</v>
      </c>
    </row>
    <row r="12" spans="3:3" x14ac:dyDescent="0.3">
      <c r="C12" s="369" t="s">
        <v>362</v>
      </c>
    </row>
    <row r="13" spans="3:3" ht="15" thickBot="1" x14ac:dyDescent="0.35">
      <c r="C13" s="369" t="s">
        <v>363</v>
      </c>
    </row>
    <row r="14" spans="3:3" ht="21" x14ac:dyDescent="0.3">
      <c r="C14" s="370" t="s">
        <v>364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35" t="s">
        <v>174</v>
      </c>
      <c r="X1" s="335"/>
      <c r="Y1" s="335"/>
      <c r="Z1" s="335"/>
      <c r="AA1" s="335"/>
      <c r="AB1" s="335"/>
      <c r="AC1" s="335"/>
      <c r="AD1" s="335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88" t="s">
        <v>153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85" t="s">
        <v>50</v>
      </c>
      <c r="B3" s="285"/>
      <c r="C3" s="289" t="s">
        <v>131</v>
      </c>
      <c r="D3" s="289"/>
      <c r="E3" s="289"/>
      <c r="F3" s="9"/>
      <c r="G3" s="285" t="s">
        <v>56</v>
      </c>
      <c r="H3" s="285"/>
      <c r="I3" s="289" t="s">
        <v>132</v>
      </c>
      <c r="J3" s="289"/>
      <c r="K3" s="289"/>
      <c r="L3" s="289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85" t="s">
        <v>51</v>
      </c>
      <c r="B5" s="285"/>
      <c r="C5" s="286" t="s">
        <v>1</v>
      </c>
      <c r="D5" s="286"/>
      <c r="E5" s="286"/>
      <c r="F5" s="9"/>
      <c r="G5" s="285" t="s">
        <v>53</v>
      </c>
      <c r="H5" s="285"/>
      <c r="I5" s="287">
        <v>20000</v>
      </c>
      <c r="J5" s="287"/>
      <c r="K5" s="286" t="s">
        <v>2</v>
      </c>
      <c r="L5" s="286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90" t="s">
        <v>54</v>
      </c>
      <c r="B9" s="290"/>
      <c r="C9" s="290"/>
      <c r="O9" s="20"/>
      <c r="P9" s="20"/>
      <c r="Q9" s="20"/>
    </row>
    <row r="10" spans="1:19" ht="15.6" x14ac:dyDescent="0.3">
      <c r="A10" s="290" t="s">
        <v>55</v>
      </c>
      <c r="B10" s="290"/>
      <c r="C10" s="290"/>
      <c r="N10" s="291"/>
      <c r="O10" s="291"/>
      <c r="P10" s="291"/>
      <c r="Q10" s="291"/>
      <c r="R10" s="44"/>
    </row>
    <row r="11" spans="1:19" ht="15" thickBot="1" x14ac:dyDescent="0.35"/>
    <row r="12" spans="1:19" ht="15" thickBot="1" x14ac:dyDescent="0.35">
      <c r="A12" s="295"/>
      <c r="B12" s="295"/>
      <c r="C12" s="295"/>
      <c r="E12" s="349" t="s">
        <v>68</v>
      </c>
      <c r="F12" s="350"/>
      <c r="G12" s="351"/>
      <c r="I12" s="295"/>
      <c r="J12" s="295"/>
      <c r="K12" s="295"/>
      <c r="M12" s="295"/>
      <c r="N12" s="295"/>
      <c r="O12" s="295"/>
    </row>
    <row r="13" spans="1:19" x14ac:dyDescent="0.3">
      <c r="A13" s="298"/>
      <c r="B13" s="298"/>
      <c r="C13" s="21"/>
      <c r="E13" s="352" t="s">
        <v>69</v>
      </c>
      <c r="F13" s="353"/>
      <c r="G13" s="29">
        <v>102</v>
      </c>
      <c r="I13" s="298"/>
      <c r="J13" s="298"/>
      <c r="K13" s="21"/>
      <c r="M13" s="298"/>
      <c r="N13" s="298"/>
      <c r="O13" s="129"/>
    </row>
    <row r="14" spans="1:19" x14ac:dyDescent="0.3">
      <c r="A14" s="298"/>
      <c r="B14" s="298"/>
      <c r="C14" s="21"/>
      <c r="E14" s="299" t="s">
        <v>8</v>
      </c>
      <c r="F14" s="300"/>
      <c r="G14" s="30">
        <v>33</v>
      </c>
      <c r="I14" s="298"/>
      <c r="J14" s="298"/>
      <c r="K14" s="21"/>
      <c r="M14" s="298"/>
      <c r="N14" s="298"/>
      <c r="O14" s="130"/>
      <c r="P14" s="21"/>
      <c r="R14" s="21"/>
    </row>
    <row r="15" spans="1:19" x14ac:dyDescent="0.3">
      <c r="A15" s="298"/>
      <c r="B15" s="298"/>
      <c r="C15" s="131"/>
      <c r="E15" s="347" t="s">
        <v>9</v>
      </c>
      <c r="F15" s="348"/>
      <c r="G15" s="30">
        <v>161</v>
      </c>
      <c r="I15" s="4"/>
      <c r="J15" s="4"/>
      <c r="K15" s="131"/>
      <c r="M15" s="298"/>
      <c r="N15" s="298"/>
      <c r="O15" s="130"/>
      <c r="P15" s="21"/>
      <c r="R15" s="21"/>
    </row>
    <row r="16" spans="1:19" x14ac:dyDescent="0.3">
      <c r="A16" s="298"/>
      <c r="B16" s="298"/>
      <c r="C16" s="6"/>
      <c r="E16" s="23" t="s">
        <v>6</v>
      </c>
      <c r="F16" s="22"/>
      <c r="G16" s="31">
        <v>20</v>
      </c>
      <c r="I16" s="298"/>
      <c r="J16" s="298"/>
      <c r="K16" s="6"/>
      <c r="M16" s="298"/>
      <c r="N16" s="298"/>
      <c r="O16" s="129"/>
    </row>
    <row r="17" spans="1:15" ht="15" thickBot="1" x14ac:dyDescent="0.35">
      <c r="A17" s="298"/>
      <c r="B17" s="298"/>
      <c r="C17" s="6"/>
      <c r="E17" s="301" t="s">
        <v>7</v>
      </c>
      <c r="F17" s="302"/>
      <c r="G17" s="32">
        <v>30</v>
      </c>
      <c r="M17" s="298"/>
      <c r="N17" s="298"/>
      <c r="O17" s="130"/>
    </row>
    <row r="18" spans="1:15" x14ac:dyDescent="0.3">
      <c r="M18" s="298"/>
      <c r="N18" s="298"/>
      <c r="O18" s="101"/>
    </row>
    <row r="19" spans="1:15" x14ac:dyDescent="0.3">
      <c r="M19" s="354"/>
      <c r="N19" s="354"/>
      <c r="O19" s="132"/>
    </row>
    <row r="20" spans="1:15" x14ac:dyDescent="0.3">
      <c r="M20" s="354"/>
      <c r="N20" s="354"/>
      <c r="O20" s="133"/>
    </row>
    <row r="21" spans="1:15" x14ac:dyDescent="0.3">
      <c r="C21" s="303" t="s">
        <v>81</v>
      </c>
      <c r="D21" s="53"/>
      <c r="E21" s="303" t="s">
        <v>81</v>
      </c>
      <c r="F21" s="303"/>
      <c r="G21" s="303" t="s">
        <v>81</v>
      </c>
      <c r="H21" s="303" t="s">
        <v>81</v>
      </c>
    </row>
    <row r="22" spans="1:15" x14ac:dyDescent="0.3">
      <c r="C22" s="303"/>
      <c r="D22" s="53"/>
      <c r="E22" s="303"/>
      <c r="F22" s="303"/>
      <c r="G22" s="303"/>
      <c r="H22" s="303"/>
    </row>
    <row r="23" spans="1:15" ht="15" thickBot="1" x14ac:dyDescent="0.35">
      <c r="C23" s="304"/>
      <c r="D23" s="53"/>
      <c r="E23" s="304"/>
      <c r="F23" s="304"/>
      <c r="G23" s="304"/>
      <c r="H23" s="304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306" t="s">
        <v>38</v>
      </c>
      <c r="B31" s="307"/>
      <c r="C31" s="307"/>
      <c r="D31" s="307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308" t="s">
        <v>66</v>
      </c>
      <c r="D35" s="308"/>
      <c r="E35" s="35">
        <f>IF(C5="Roll", (1000/(C13*C14*B37*0.001*0.001))*C16, IF(C5="Sleeve", (1000/(G14*G15*B37*0.001*0.001))*1, IF(C5="Bag or Pouch", (1000/(K14*K13*B37*0.001*0.001))*1, "")))</f>
        <v>5431.9647769676003</v>
      </c>
      <c r="F35" s="308" t="s">
        <v>65</v>
      </c>
      <c r="G35" s="308"/>
      <c r="H35" s="308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308" t="s">
        <v>59</v>
      </c>
      <c r="D36" s="308"/>
      <c r="E36" s="15">
        <f>1000/E35</f>
        <v>0.18409544999999999</v>
      </c>
      <c r="F36" s="308" t="s">
        <v>88</v>
      </c>
      <c r="G36" s="308"/>
      <c r="H36" s="308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308" t="s">
        <v>60</v>
      </c>
      <c r="D37" s="308"/>
      <c r="E37" s="15">
        <f>1000/B37</f>
        <v>28.860028860028862</v>
      </c>
      <c r="F37" s="308" t="s">
        <v>89</v>
      </c>
      <c r="G37" s="308"/>
      <c r="H37" s="308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308" t="s">
        <v>86</v>
      </c>
      <c r="D38" s="308"/>
      <c r="E38" s="15">
        <f>(E37/I35)*1000</f>
        <v>28.574286000028575</v>
      </c>
      <c r="F38" s="308" t="s">
        <v>87</v>
      </c>
      <c r="G38" s="308"/>
      <c r="H38" s="308"/>
      <c r="I38" s="38">
        <f>I36*E38</f>
        <v>571485.72000057145</v>
      </c>
    </row>
    <row r="39" spans="1:13" x14ac:dyDescent="0.3">
      <c r="C39" s="308" t="s">
        <v>151</v>
      </c>
      <c r="D39" s="308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308"/>
      <c r="D40" s="308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10" t="s">
        <v>92</v>
      </c>
      <c r="B44" s="311"/>
      <c r="C44" s="312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305" t="s">
        <v>62</v>
      </c>
      <c r="B46" s="305"/>
      <c r="C46" s="305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305" t="s">
        <v>63</v>
      </c>
      <c r="B47" s="305"/>
      <c r="C47" s="305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305" t="s">
        <v>48</v>
      </c>
      <c r="B48" s="305"/>
      <c r="C48" s="305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05" t="s">
        <v>85</v>
      </c>
      <c r="B49" s="305"/>
      <c r="C49" s="305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05" t="s">
        <v>64</v>
      </c>
      <c r="B50" s="305"/>
      <c r="C50" s="305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05" t="s">
        <v>93</v>
      </c>
      <c r="B52" s="305"/>
      <c r="C52" s="305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05" t="s">
        <v>49</v>
      </c>
      <c r="B53" s="305"/>
      <c r="C53" s="305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44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45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45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45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45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45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45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45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45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46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18"/>
      <c r="C73" s="319" t="s">
        <v>41</v>
      </c>
      <c r="D73" s="80" t="s">
        <v>91</v>
      </c>
      <c r="E73" s="321" t="s">
        <v>42</v>
      </c>
      <c r="F73" s="323" t="s">
        <v>43</v>
      </c>
      <c r="G73" s="323" t="s">
        <v>107</v>
      </c>
      <c r="H73" s="313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18"/>
      <c r="C74" s="320"/>
      <c r="D74" s="181">
        <v>0.3</v>
      </c>
      <c r="E74" s="322"/>
      <c r="F74" s="324"/>
      <c r="G74" s="324"/>
      <c r="H74" s="314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329"/>
      <c r="I82" s="329"/>
      <c r="J82" s="329"/>
      <c r="K82" s="41"/>
      <c r="L82" s="41"/>
      <c r="M82" s="41"/>
      <c r="N82" s="41"/>
    </row>
    <row r="83" spans="1:21" ht="18" x14ac:dyDescent="0.35">
      <c r="A83" s="54"/>
      <c r="B83" s="330" t="s">
        <v>136</v>
      </c>
      <c r="C83" s="330"/>
      <c r="D83" s="330"/>
      <c r="E83" s="330"/>
      <c r="F83" s="330"/>
      <c r="G83" s="330"/>
      <c r="H83" s="330"/>
      <c r="I83" s="330"/>
      <c r="J83" s="330"/>
      <c r="K83" s="330"/>
      <c r="L83" s="330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6" t="s">
        <v>146</v>
      </c>
      <c r="I87" s="337"/>
      <c r="J87" s="17" t="s">
        <v>148</v>
      </c>
      <c r="K87" s="338" t="s">
        <v>147</v>
      </c>
      <c r="L87" s="339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0">
        <f>C75+H70</f>
        <v>10.167385929069098</v>
      </c>
      <c r="I88" s="341"/>
      <c r="J88" s="162">
        <f>(K88-H88)/H88</f>
        <v>0.98761894452246557</v>
      </c>
      <c r="K88" s="342">
        <f>E106+E122</f>
        <v>20.20888888888889</v>
      </c>
      <c r="L88" s="343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332" t="s">
        <v>159</v>
      </c>
      <c r="R92" s="332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333" t="s">
        <v>148</v>
      </c>
      <c r="U94" s="334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325">
        <f>R96-R95</f>
        <v>10.041502959819791</v>
      </c>
      <c r="U95" s="327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326"/>
      <c r="U96" s="327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328" t="s">
        <v>145</v>
      </c>
      <c r="C122" s="328"/>
      <c r="D122" s="328"/>
      <c r="E122" s="140">
        <f>E121/C85</f>
        <v>1.6333333333333333</v>
      </c>
      <c r="P122" s="222"/>
    </row>
    <row r="123" spans="2:16" x14ac:dyDescent="0.3">
      <c r="B123" s="328" t="s">
        <v>142</v>
      </c>
      <c r="C123" s="328"/>
      <c r="D123" s="328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Q92:R92"/>
    <mergeCell ref="T94:U94"/>
    <mergeCell ref="T95:T96"/>
    <mergeCell ref="U95:U96"/>
    <mergeCell ref="M17:N17"/>
    <mergeCell ref="M18:N18"/>
    <mergeCell ref="M19:N20"/>
    <mergeCell ref="C21:C23"/>
    <mergeCell ref="E21:E23"/>
    <mergeCell ref="H21:H23"/>
    <mergeCell ref="F21:F23"/>
    <mergeCell ref="E17:F17"/>
    <mergeCell ref="G21:G23"/>
    <mergeCell ref="M12:O12"/>
    <mergeCell ref="M13:N13"/>
    <mergeCell ref="M14:N14"/>
    <mergeCell ref="M15:N15"/>
    <mergeCell ref="M16:N16"/>
    <mergeCell ref="I16:J16"/>
    <mergeCell ref="E15:F15"/>
    <mergeCell ref="E12:G12"/>
    <mergeCell ref="E13:F13"/>
    <mergeCell ref="E14:F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G73:G74"/>
    <mergeCell ref="H82:J82"/>
    <mergeCell ref="A48:C48"/>
    <mergeCell ref="A53:C53"/>
    <mergeCell ref="E73:E74"/>
    <mergeCell ref="F73:F74"/>
    <mergeCell ref="H73:H74"/>
    <mergeCell ref="H60:H69"/>
    <mergeCell ref="B122:D122"/>
    <mergeCell ref="B123:D123"/>
    <mergeCell ref="B83:L83"/>
    <mergeCell ref="H87:I87"/>
    <mergeCell ref="K87:L87"/>
    <mergeCell ref="H88:I88"/>
    <mergeCell ref="K88:L88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88" t="s">
        <v>153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85" t="s">
        <v>50</v>
      </c>
      <c r="B3" s="285"/>
      <c r="C3" s="289" t="s">
        <v>133</v>
      </c>
      <c r="D3" s="289"/>
      <c r="E3" s="289"/>
      <c r="F3" s="9"/>
      <c r="G3" s="285" t="s">
        <v>56</v>
      </c>
      <c r="H3" s="285"/>
      <c r="I3" s="289" t="s">
        <v>134</v>
      </c>
      <c r="J3" s="289"/>
      <c r="K3" s="289"/>
      <c r="L3" s="289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85" t="s">
        <v>51</v>
      </c>
      <c r="B5" s="285"/>
      <c r="C5" s="286" t="s">
        <v>52</v>
      </c>
      <c r="D5" s="286"/>
      <c r="E5" s="286"/>
      <c r="F5" s="9"/>
      <c r="G5" s="285" t="s">
        <v>53</v>
      </c>
      <c r="H5" s="285"/>
      <c r="I5" s="287">
        <v>500</v>
      </c>
      <c r="J5" s="287"/>
      <c r="K5" s="286" t="s">
        <v>3</v>
      </c>
      <c r="L5" s="286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90" t="s">
        <v>54</v>
      </c>
      <c r="B9" s="290"/>
      <c r="C9" s="290"/>
      <c r="O9" s="20"/>
      <c r="P9" s="20"/>
      <c r="Q9" s="20"/>
    </row>
    <row r="10" spans="1:19" ht="15.6" x14ac:dyDescent="0.3">
      <c r="A10" s="290" t="s">
        <v>55</v>
      </c>
      <c r="B10" s="290"/>
      <c r="C10" s="290"/>
      <c r="N10" s="291"/>
      <c r="O10" s="291"/>
      <c r="P10" s="291"/>
      <c r="Q10" s="291"/>
      <c r="R10" s="44"/>
    </row>
    <row r="11" spans="1:19" ht="15" thickBot="1" x14ac:dyDescent="0.35"/>
    <row r="12" spans="1:19" ht="15" thickBot="1" x14ac:dyDescent="0.35">
      <c r="A12" s="295"/>
      <c r="B12" s="295"/>
      <c r="C12" s="295"/>
      <c r="E12" s="295"/>
      <c r="F12" s="295"/>
      <c r="G12" s="295"/>
      <c r="I12" s="355" t="s">
        <v>70</v>
      </c>
      <c r="J12" s="356"/>
      <c r="K12" s="357"/>
      <c r="M12" s="355" t="s">
        <v>73</v>
      </c>
      <c r="N12" s="356"/>
      <c r="O12" s="357"/>
    </row>
    <row r="13" spans="1:19" x14ac:dyDescent="0.3">
      <c r="A13" s="298"/>
      <c r="B13" s="298"/>
      <c r="C13" s="21"/>
      <c r="E13" s="298"/>
      <c r="F13" s="298"/>
      <c r="G13" s="21"/>
      <c r="I13" s="352" t="s">
        <v>71</v>
      </c>
      <c r="J13" s="353"/>
      <c r="K13" s="29">
        <v>720</v>
      </c>
      <c r="M13" s="352" t="s">
        <v>75</v>
      </c>
      <c r="N13" s="353"/>
      <c r="O13" s="33">
        <v>6.94</v>
      </c>
    </row>
    <row r="14" spans="1:19" x14ac:dyDescent="0.3">
      <c r="A14" s="298"/>
      <c r="B14" s="298"/>
      <c r="C14" s="21"/>
      <c r="E14" s="298"/>
      <c r="F14" s="298"/>
      <c r="G14" s="21"/>
      <c r="I14" s="299" t="s">
        <v>72</v>
      </c>
      <c r="J14" s="300"/>
      <c r="K14" s="30">
        <v>310</v>
      </c>
      <c r="M14" s="299" t="s">
        <v>76</v>
      </c>
      <c r="N14" s="300"/>
      <c r="O14" s="34">
        <v>0.25</v>
      </c>
      <c r="P14" s="21"/>
      <c r="R14" s="21"/>
    </row>
    <row r="15" spans="1:19" x14ac:dyDescent="0.3">
      <c r="A15" s="298"/>
      <c r="B15" s="298"/>
      <c r="C15" s="131"/>
      <c r="E15" s="298"/>
      <c r="F15" s="298"/>
      <c r="G15" s="21"/>
      <c r="I15" s="23" t="s">
        <v>6</v>
      </c>
      <c r="J15" s="22"/>
      <c r="K15" s="31">
        <v>20</v>
      </c>
      <c r="M15" s="299" t="s">
        <v>74</v>
      </c>
      <c r="N15" s="300"/>
      <c r="O15" s="24">
        <f>O14/O13</f>
        <v>3.6023054755043228E-2</v>
      </c>
      <c r="P15" s="21"/>
      <c r="R15" s="21"/>
    </row>
    <row r="16" spans="1:19" ht="15" thickBot="1" x14ac:dyDescent="0.35">
      <c r="A16" s="298"/>
      <c r="B16" s="298"/>
      <c r="C16" s="6"/>
      <c r="E16" s="4"/>
      <c r="F16" s="4"/>
      <c r="G16" s="131"/>
      <c r="I16" s="301" t="s">
        <v>7</v>
      </c>
      <c r="J16" s="302"/>
      <c r="K16" s="32">
        <v>3</v>
      </c>
      <c r="M16" s="299" t="s">
        <v>77</v>
      </c>
      <c r="N16" s="300"/>
      <c r="O16" s="25">
        <f>K14*O13*0.001</f>
        <v>2.1514000000000002</v>
      </c>
    </row>
    <row r="17" spans="1:15" x14ac:dyDescent="0.3">
      <c r="A17" s="298"/>
      <c r="B17" s="298"/>
      <c r="C17" s="6"/>
      <c r="E17" s="298"/>
      <c r="F17" s="298"/>
      <c r="G17" s="6"/>
      <c r="M17" s="299" t="s">
        <v>78</v>
      </c>
      <c r="N17" s="300"/>
      <c r="O17" s="24">
        <f>O16*O15</f>
        <v>7.7500000000000013E-2</v>
      </c>
    </row>
    <row r="18" spans="1:15" x14ac:dyDescent="0.3">
      <c r="M18" s="299" t="s">
        <v>79</v>
      </c>
      <c r="N18" s="300"/>
      <c r="O18" s="26">
        <f>O17*E35</f>
        <v>2.0002432295767165</v>
      </c>
    </row>
    <row r="19" spans="1:15" x14ac:dyDescent="0.3">
      <c r="M19" s="360" t="s">
        <v>80</v>
      </c>
      <c r="N19" s="361"/>
      <c r="O19" s="27">
        <f>(O16*I37*1000)/O13</f>
        <v>155000</v>
      </c>
    </row>
    <row r="20" spans="1:15" ht="15" thickBot="1" x14ac:dyDescent="0.35">
      <c r="M20" s="362"/>
      <c r="N20" s="363"/>
      <c r="O20" s="28">
        <f>O16*I37</f>
        <v>1075.7</v>
      </c>
    </row>
    <row r="21" spans="1:15" x14ac:dyDescent="0.3">
      <c r="C21" s="303" t="s">
        <v>81</v>
      </c>
      <c r="D21" s="53"/>
      <c r="E21" s="303" t="s">
        <v>81</v>
      </c>
      <c r="F21" s="303"/>
      <c r="G21" s="303" t="s">
        <v>81</v>
      </c>
      <c r="H21" s="303" t="s">
        <v>81</v>
      </c>
    </row>
    <row r="22" spans="1:15" x14ac:dyDescent="0.3">
      <c r="C22" s="303"/>
      <c r="D22" s="53"/>
      <c r="E22" s="303"/>
      <c r="F22" s="303"/>
      <c r="G22" s="303"/>
      <c r="H22" s="303"/>
    </row>
    <row r="23" spans="1:15" ht="15" thickBot="1" x14ac:dyDescent="0.35">
      <c r="C23" s="304"/>
      <c r="D23" s="53"/>
      <c r="E23" s="304"/>
      <c r="F23" s="304"/>
      <c r="G23" s="304"/>
      <c r="H23" s="304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58" t="s">
        <v>38</v>
      </c>
      <c r="B33" s="359"/>
      <c r="C33" s="359"/>
      <c r="D33" s="359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308" t="s">
        <v>66</v>
      </c>
      <c r="D35" s="308"/>
      <c r="E35" s="35">
        <f>IF(C5="Roll", (1000/(C13*C14*B37*0.001*0.001))*C16, IF(C5="Sleeve", (1000/(G14*G15*B37*0.001*0.001))*1, IF(C5="Bag or Pouch", (1000/(K14*K13*B37*0.001*0.001))*1, "")))</f>
        <v>25.809590059054404</v>
      </c>
      <c r="F35" s="308" t="s">
        <v>65</v>
      </c>
      <c r="G35" s="308"/>
      <c r="H35" s="308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308" t="s">
        <v>59</v>
      </c>
      <c r="D36" s="308"/>
      <c r="E36" s="15">
        <f>1000/E35</f>
        <v>38.745288000000002</v>
      </c>
      <c r="F36" s="308" t="s">
        <v>88</v>
      </c>
      <c r="G36" s="308"/>
      <c r="H36" s="308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308" t="s">
        <v>60</v>
      </c>
      <c r="D37" s="308"/>
      <c r="E37" s="15">
        <f>1000/B37</f>
        <v>5.7607005011809438</v>
      </c>
      <c r="F37" s="308" t="s">
        <v>89</v>
      </c>
      <c r="G37" s="308"/>
      <c r="H37" s="308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308" t="s">
        <v>86</v>
      </c>
      <c r="D38" s="308"/>
      <c r="E38" s="15">
        <f>(E37/I35)*1000</f>
        <v>6.063895264400994</v>
      </c>
      <c r="F38" s="308" t="s">
        <v>87</v>
      </c>
      <c r="G38" s="308"/>
      <c r="H38" s="308"/>
      <c r="I38" s="38">
        <f>I36*E38</f>
        <v>117473.68421052633</v>
      </c>
    </row>
    <row r="39" spans="1:14" x14ac:dyDescent="0.3">
      <c r="C39" s="308" t="s">
        <v>61</v>
      </c>
      <c r="D39" s="308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310" t="s">
        <v>92</v>
      </c>
      <c r="B44" s="311"/>
      <c r="C44" s="312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305" t="s">
        <v>62</v>
      </c>
      <c r="B46" s="305"/>
      <c r="C46" s="305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305" t="s">
        <v>63</v>
      </c>
      <c r="B47" s="305"/>
      <c r="C47" s="305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305" t="s">
        <v>48</v>
      </c>
      <c r="B48" s="305"/>
      <c r="C48" s="305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305" t="s">
        <v>85</v>
      </c>
      <c r="B49" s="305"/>
      <c r="C49" s="305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305" t="s">
        <v>64</v>
      </c>
      <c r="B50" s="305"/>
      <c r="C50" s="305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305" t="s">
        <v>93</v>
      </c>
      <c r="B52" s="305"/>
      <c r="C52" s="305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305" t="s">
        <v>49</v>
      </c>
      <c r="B53" s="305"/>
      <c r="C53" s="305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44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45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45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45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45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45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45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45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45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46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18"/>
      <c r="C73" s="319" t="s">
        <v>41</v>
      </c>
      <c r="D73" s="80" t="s">
        <v>91</v>
      </c>
      <c r="E73" s="321" t="s">
        <v>42</v>
      </c>
      <c r="F73" s="323" t="s">
        <v>43</v>
      </c>
      <c r="G73" s="323" t="s">
        <v>107</v>
      </c>
      <c r="H73" s="313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18"/>
      <c r="C74" s="320"/>
      <c r="D74" s="181">
        <v>0.3</v>
      </c>
      <c r="E74" s="322"/>
      <c r="F74" s="324"/>
      <c r="G74" s="324"/>
      <c r="H74" s="314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329"/>
      <c r="I82" s="329"/>
      <c r="J82" s="329"/>
      <c r="K82" s="41"/>
      <c r="L82" s="41"/>
      <c r="M82" s="41"/>
      <c r="N82" s="41"/>
    </row>
    <row r="83" spans="1:21" ht="18" x14ac:dyDescent="0.35">
      <c r="A83" s="54"/>
      <c r="B83" s="330" t="s">
        <v>136</v>
      </c>
      <c r="C83" s="330"/>
      <c r="D83" s="330"/>
      <c r="E83" s="330"/>
      <c r="F83" s="330"/>
      <c r="G83" s="330"/>
      <c r="H83" s="330"/>
      <c r="I83" s="330"/>
      <c r="J83" s="330"/>
      <c r="K83" s="330"/>
      <c r="L83" s="330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6" t="s">
        <v>146</v>
      </c>
      <c r="I87" s="337"/>
      <c r="J87" s="17" t="s">
        <v>148</v>
      </c>
      <c r="K87" s="338" t="s">
        <v>147</v>
      </c>
      <c r="L87" s="339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0">
        <f>C75+H70</f>
        <v>3.0787051830524823</v>
      </c>
      <c r="I88" s="341"/>
      <c r="J88" s="162">
        <f>(K88-H88)/H88</f>
        <v>6.0858781331305026E-2</v>
      </c>
      <c r="K88" s="342">
        <f>E106+E122</f>
        <v>3.2660714285714287</v>
      </c>
      <c r="L88" s="343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332" t="s">
        <v>159</v>
      </c>
      <c r="R92" s="332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333" t="s">
        <v>148</v>
      </c>
      <c r="U94" s="334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325">
        <f>R96-R95</f>
        <v>0.18736624551894643</v>
      </c>
      <c r="U95" s="327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326"/>
      <c r="U96" s="327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328" t="s">
        <v>145</v>
      </c>
      <c r="C122" s="328"/>
      <c r="D122" s="328"/>
      <c r="E122" s="140">
        <f>E121/C85</f>
        <v>0.97142857142857142</v>
      </c>
      <c r="P122" s="222"/>
    </row>
    <row r="123" spans="2:16" x14ac:dyDescent="0.3">
      <c r="B123" s="328" t="s">
        <v>142</v>
      </c>
      <c r="C123" s="328"/>
      <c r="D123" s="328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  <mergeCell ref="C39:D39"/>
    <mergeCell ref="A44:C44"/>
    <mergeCell ref="A46:C46"/>
    <mergeCell ref="A53:C53"/>
    <mergeCell ref="A47:C47"/>
    <mergeCell ref="A48:C48"/>
    <mergeCell ref="A49:C49"/>
    <mergeCell ref="A50:C50"/>
    <mergeCell ref="M18:N18"/>
    <mergeCell ref="M19:N20"/>
    <mergeCell ref="F36:H36"/>
    <mergeCell ref="G21:G23"/>
    <mergeCell ref="H21:H23"/>
    <mergeCell ref="C21:C23"/>
    <mergeCell ref="E21:E23"/>
    <mergeCell ref="F21:F23"/>
    <mergeCell ref="A33:D33"/>
    <mergeCell ref="C35:D35"/>
    <mergeCell ref="F35:H35"/>
    <mergeCell ref="C36:D36"/>
    <mergeCell ref="F38:H38"/>
    <mergeCell ref="C37:D37"/>
    <mergeCell ref="F37:H37"/>
    <mergeCell ref="C38:D38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3:B13"/>
    <mergeCell ref="E13:F13"/>
    <mergeCell ref="I13:J13"/>
    <mergeCell ref="M13:N13"/>
    <mergeCell ref="A14:B14"/>
    <mergeCell ref="E14:F14"/>
    <mergeCell ref="I14:J14"/>
    <mergeCell ref="M14:N14"/>
    <mergeCell ref="A9:C9"/>
    <mergeCell ref="A10:C10"/>
    <mergeCell ref="N10:O10"/>
    <mergeCell ref="P10:Q10"/>
    <mergeCell ref="A12:C12"/>
    <mergeCell ref="E12:G12"/>
    <mergeCell ref="I12:K12"/>
    <mergeCell ref="M12:O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  <mergeCell ref="B122:D122"/>
    <mergeCell ref="B123:D123"/>
    <mergeCell ref="B83:L83"/>
    <mergeCell ref="H87:I87"/>
    <mergeCell ref="K87:L87"/>
    <mergeCell ref="H88:I88"/>
    <mergeCell ref="K88:L88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64" t="s">
        <v>208</v>
      </c>
      <c r="H1" s="364"/>
      <c r="I1" s="364"/>
      <c r="J1" s="364"/>
      <c r="K1" s="364" t="s">
        <v>207</v>
      </c>
      <c r="L1" s="364"/>
      <c r="M1" s="364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65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65"/>
    </row>
    <row r="9" spans="2:17" x14ac:dyDescent="0.3">
      <c r="N9" t="s">
        <v>211</v>
      </c>
      <c r="O9" t="s">
        <v>200</v>
      </c>
      <c r="P9" s="19" t="s">
        <v>195</v>
      </c>
      <c r="Q9" s="365"/>
    </row>
    <row r="10" spans="2:17" x14ac:dyDescent="0.3">
      <c r="N10" t="s">
        <v>212</v>
      </c>
      <c r="O10" t="s">
        <v>197</v>
      </c>
      <c r="P10" s="19" t="s">
        <v>164</v>
      </c>
      <c r="Q10" s="365"/>
    </row>
    <row r="11" spans="2:17" x14ac:dyDescent="0.3">
      <c r="N11" t="s">
        <v>213</v>
      </c>
      <c r="O11" t="s">
        <v>198</v>
      </c>
      <c r="P11" s="19" t="s">
        <v>192</v>
      </c>
      <c r="Q11" s="365"/>
    </row>
    <row r="12" spans="2:17" x14ac:dyDescent="0.3">
      <c r="N12" t="s">
        <v>217</v>
      </c>
      <c r="O12" t="s">
        <v>216</v>
      </c>
      <c r="P12" s="19" t="s">
        <v>193</v>
      </c>
      <c r="Q12" s="365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6283A-876D-4B37-98A9-075713B589D3}">
  <dimension ref="F3:I11"/>
  <sheetViews>
    <sheetView tabSelected="1" workbookViewId="0">
      <selection activeCell="N11" sqref="N11"/>
    </sheetView>
  </sheetViews>
  <sheetFormatPr defaultRowHeight="14.4" x14ac:dyDescent="0.3"/>
  <cols>
    <col min="6" max="6" width="33.77734375" customWidth="1"/>
    <col min="7" max="7" width="13.33203125" customWidth="1"/>
    <col min="8" max="8" width="13.77734375" customWidth="1"/>
    <col min="9" max="9" width="13.88671875" customWidth="1"/>
  </cols>
  <sheetData>
    <row r="3" spans="6:9" x14ac:dyDescent="0.3">
      <c r="F3" s="374"/>
      <c r="G3" s="374" t="s">
        <v>365</v>
      </c>
      <c r="H3" s="374" t="s">
        <v>366</v>
      </c>
      <c r="I3" s="374" t="s">
        <v>367</v>
      </c>
    </row>
    <row r="4" spans="6:9" x14ac:dyDescent="0.3">
      <c r="F4" s="375" t="s">
        <v>342</v>
      </c>
      <c r="G4" s="375"/>
      <c r="H4" s="375"/>
      <c r="I4" s="375"/>
    </row>
    <row r="5" spans="6:9" x14ac:dyDescent="0.3">
      <c r="F5" s="372" t="s">
        <v>344</v>
      </c>
      <c r="G5" s="372"/>
      <c r="H5" s="372"/>
      <c r="I5" s="372"/>
    </row>
    <row r="6" spans="6:9" x14ac:dyDescent="0.3">
      <c r="F6" s="371" t="s">
        <v>345</v>
      </c>
      <c r="G6" s="371"/>
      <c r="H6" s="371"/>
      <c r="I6" s="371"/>
    </row>
    <row r="7" spans="6:9" x14ac:dyDescent="0.3">
      <c r="F7" s="372" t="s">
        <v>188</v>
      </c>
      <c r="G7" s="372"/>
      <c r="H7" s="372"/>
      <c r="I7" s="372"/>
    </row>
    <row r="8" spans="6:9" ht="15" thickBot="1" x14ac:dyDescent="0.35">
      <c r="F8" s="376" t="s">
        <v>350</v>
      </c>
      <c r="G8" s="371"/>
      <c r="H8" s="371"/>
      <c r="I8" s="371"/>
    </row>
    <row r="9" spans="6:9" x14ac:dyDescent="0.3">
      <c r="F9" s="377" t="s">
        <v>353</v>
      </c>
      <c r="G9" s="372"/>
      <c r="H9" s="372"/>
      <c r="I9" s="372"/>
    </row>
    <row r="10" spans="6:9" x14ac:dyDescent="0.3">
      <c r="F10" s="371" t="s">
        <v>348</v>
      </c>
      <c r="G10" s="371"/>
      <c r="H10" s="371"/>
      <c r="I10" s="371"/>
    </row>
    <row r="11" spans="6:9" x14ac:dyDescent="0.3">
      <c r="F11" s="373" t="s">
        <v>355</v>
      </c>
      <c r="G11" s="373"/>
      <c r="H11" s="373"/>
      <c r="I11" s="373"/>
    </row>
  </sheetData>
  <phoneticPr fontId="2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6" zoomScale="70" zoomScaleNormal="70" workbookViewId="0">
      <selection activeCell="V8" sqref="V8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  <col min="18" max="18" width="12.332031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66">
        <v>1</v>
      </c>
      <c r="H8" s="367" t="s">
        <v>34</v>
      </c>
      <c r="I8" s="367" t="s">
        <v>328</v>
      </c>
      <c r="J8" s="367" t="s">
        <v>328</v>
      </c>
      <c r="K8" s="367" t="s">
        <v>328</v>
      </c>
      <c r="L8" s="367" t="s">
        <v>331</v>
      </c>
      <c r="M8" s="367" t="s">
        <v>328</v>
      </c>
      <c r="N8" s="367" t="s">
        <v>331</v>
      </c>
    </row>
    <row r="9" spans="7:14" x14ac:dyDescent="0.3">
      <c r="G9" s="366"/>
      <c r="H9" s="367"/>
      <c r="I9" s="367"/>
      <c r="J9" s="367"/>
      <c r="K9" s="367"/>
      <c r="L9" s="367"/>
      <c r="M9" s="367"/>
      <c r="N9" s="367"/>
    </row>
    <row r="17" spans="7:20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3">
      <c r="Q20" s="271" t="s">
        <v>326</v>
      </c>
      <c r="R20" s="271" t="s">
        <v>203</v>
      </c>
      <c r="S20" s="271" t="s">
        <v>14</v>
      </c>
      <c r="T20" s="271" t="s">
        <v>220</v>
      </c>
    </row>
    <row r="21" spans="7:20" x14ac:dyDescent="0.3">
      <c r="Q21" s="272" t="s">
        <v>238</v>
      </c>
      <c r="R21" s="272" t="s">
        <v>332</v>
      </c>
      <c r="S21" s="272">
        <v>0.9</v>
      </c>
      <c r="T21" s="272">
        <v>0</v>
      </c>
    </row>
    <row r="22" spans="7:20" x14ac:dyDescent="0.3">
      <c r="Q22" s="272" t="s">
        <v>238</v>
      </c>
      <c r="R22" s="272" t="s">
        <v>333</v>
      </c>
      <c r="S22" s="272">
        <v>0.79</v>
      </c>
      <c r="T22" s="272">
        <v>0</v>
      </c>
    </row>
    <row r="23" spans="7:20" x14ac:dyDescent="0.3">
      <c r="Q23" s="272" t="s">
        <v>238</v>
      </c>
      <c r="R23" s="272" t="s">
        <v>334</v>
      </c>
      <c r="S23" s="272">
        <v>0.79</v>
      </c>
      <c r="T23" s="272">
        <v>0</v>
      </c>
    </row>
    <row r="24" spans="7:20" x14ac:dyDescent="0.3">
      <c r="Q24" s="272" t="s">
        <v>238</v>
      </c>
      <c r="R24" s="272" t="s">
        <v>335</v>
      </c>
      <c r="S24" s="272">
        <v>0.8</v>
      </c>
      <c r="T24" s="272">
        <v>0</v>
      </c>
    </row>
    <row r="25" spans="7:20" x14ac:dyDescent="0.3">
      <c r="Q25" s="272" t="s">
        <v>238</v>
      </c>
      <c r="R25" s="272" t="s">
        <v>336</v>
      </c>
      <c r="S25" s="272">
        <v>0.87</v>
      </c>
      <c r="T25" s="272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812A-307F-453C-92CE-92FF0734E5BC}">
  <dimension ref="B2:L19"/>
  <sheetViews>
    <sheetView topLeftCell="A5" workbookViewId="0">
      <selection activeCell="K7" sqref="K7:K16"/>
    </sheetView>
  </sheetViews>
  <sheetFormatPr defaultRowHeight="14.4" x14ac:dyDescent="0.3"/>
  <cols>
    <col min="2" max="2" width="7.6640625" bestFit="1" customWidth="1"/>
    <col min="6" max="9" width="10.88671875" bestFit="1" customWidth="1"/>
    <col min="11" max="11" width="26.5546875" bestFit="1" customWidth="1"/>
    <col min="12" max="12" width="67.88671875" bestFit="1" customWidth="1"/>
  </cols>
  <sheetData>
    <row r="2" spans="2:12" x14ac:dyDescent="0.3">
      <c r="B2" s="277">
        <v>0</v>
      </c>
      <c r="C2" s="277">
        <f>B4+1</f>
        <v>81</v>
      </c>
      <c r="D2" s="277">
        <f>C4+1</f>
        <v>151</v>
      </c>
      <c r="E2" s="277">
        <f t="shared" ref="E2:I2" si="0">D4+1</f>
        <v>301</v>
      </c>
      <c r="F2" s="277">
        <f t="shared" si="0"/>
        <v>601</v>
      </c>
      <c r="G2" s="277">
        <f t="shared" si="0"/>
        <v>1501</v>
      </c>
      <c r="H2" s="277">
        <f t="shared" si="0"/>
        <v>3001</v>
      </c>
      <c r="I2" s="277">
        <f t="shared" si="0"/>
        <v>5001</v>
      </c>
    </row>
    <row r="3" spans="2:12" x14ac:dyDescent="0.3">
      <c r="B3" s="278" t="s">
        <v>339</v>
      </c>
      <c r="C3" s="278" t="s">
        <v>339</v>
      </c>
      <c r="D3" s="278" t="s">
        <v>339</v>
      </c>
      <c r="E3" s="278" t="s">
        <v>339</v>
      </c>
      <c r="F3" s="278" t="s">
        <v>339</v>
      </c>
      <c r="G3" s="278" t="s">
        <v>339</v>
      </c>
      <c r="H3" s="279"/>
      <c r="I3" s="279"/>
    </row>
    <row r="4" spans="2:12" x14ac:dyDescent="0.3">
      <c r="B4" s="277">
        <v>80</v>
      </c>
      <c r="C4" s="277">
        <v>150</v>
      </c>
      <c r="D4" s="277">
        <v>300</v>
      </c>
      <c r="E4" s="277">
        <v>600</v>
      </c>
      <c r="F4" s="277">
        <v>1500</v>
      </c>
      <c r="G4" s="277">
        <v>3000</v>
      </c>
      <c r="H4" s="277">
        <v>5000</v>
      </c>
      <c r="I4" s="280" t="s">
        <v>340</v>
      </c>
    </row>
    <row r="5" spans="2:12" ht="17.399999999999999" x14ac:dyDescent="0.3">
      <c r="K5" s="284" t="s">
        <v>341</v>
      </c>
      <c r="L5" s="284"/>
    </row>
    <row r="6" spans="2:12" ht="18" x14ac:dyDescent="0.3">
      <c r="K6" s="281"/>
    </row>
    <row r="7" spans="2:12" x14ac:dyDescent="0.3">
      <c r="K7" t="s">
        <v>342</v>
      </c>
      <c r="L7" t="s">
        <v>343</v>
      </c>
    </row>
    <row r="8" spans="2:12" x14ac:dyDescent="0.3">
      <c r="K8" t="s">
        <v>344</v>
      </c>
      <c r="L8" s="19" t="s">
        <v>352</v>
      </c>
    </row>
    <row r="9" spans="2:12" x14ac:dyDescent="0.3">
      <c r="K9" t="s">
        <v>345</v>
      </c>
      <c r="L9" t="s">
        <v>346</v>
      </c>
    </row>
    <row r="10" spans="2:12" x14ac:dyDescent="0.3">
      <c r="K10" t="s">
        <v>188</v>
      </c>
      <c r="L10" t="s">
        <v>347</v>
      </c>
    </row>
    <row r="11" spans="2:12" ht="15" thickBot="1" x14ac:dyDescent="0.35">
      <c r="K11" s="283" t="s">
        <v>350</v>
      </c>
      <c r="L11" t="s">
        <v>351</v>
      </c>
    </row>
    <row r="14" spans="2:12" x14ac:dyDescent="0.3">
      <c r="K14" t="s">
        <v>353</v>
      </c>
      <c r="L14" t="s">
        <v>354</v>
      </c>
    </row>
    <row r="15" spans="2:12" x14ac:dyDescent="0.3">
      <c r="K15" t="s">
        <v>348</v>
      </c>
      <c r="L15" t="s">
        <v>349</v>
      </c>
    </row>
    <row r="16" spans="2:12" x14ac:dyDescent="0.3">
      <c r="K16" t="s">
        <v>355</v>
      </c>
      <c r="L16" t="s">
        <v>356</v>
      </c>
    </row>
    <row r="17" spans="11:11" ht="20.399999999999999" x14ac:dyDescent="0.3">
      <c r="K17" s="282"/>
    </row>
    <row r="18" spans="11:11" ht="20.399999999999999" x14ac:dyDescent="0.3">
      <c r="K18" s="282"/>
    </row>
    <row r="19" spans="11:11" ht="20.399999999999999" x14ac:dyDescent="0.3">
      <c r="K19" s="282"/>
    </row>
  </sheetData>
  <mergeCells count="1">
    <mergeCell ref="K5:L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74</vt:i4>
      </vt:variant>
    </vt:vector>
  </HeadingPairs>
  <TitlesOfParts>
    <vt:vector size="87" baseType="lpstr">
      <vt:lpstr>PE Bag</vt:lpstr>
      <vt:lpstr>Substrate Costing Master</vt:lpstr>
      <vt:lpstr>Sheet3</vt:lpstr>
      <vt:lpstr>Roll</vt:lpstr>
      <vt:lpstr>Sheet5</vt:lpstr>
      <vt:lpstr>Data</vt:lpstr>
      <vt:lpstr>Sleeve</vt:lpstr>
      <vt:lpstr>Pouch</vt:lpstr>
      <vt:lpstr>Overall</vt:lpstr>
      <vt:lpstr>Sheet1</vt:lpstr>
      <vt:lpstr>Sheet6</vt:lpstr>
      <vt:lpstr>Sheet2</vt:lpstr>
      <vt:lpstr>Sheet4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2026-07-03T13:45:42Z</dcterms:modified>
</cp:coreProperties>
</file>