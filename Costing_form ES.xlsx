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BC32DAD3-6D31-4FC6-93D8-5CD92083DA91}" xr6:coauthVersionLast="47" xr6:coauthVersionMax="47" xr10:uidLastSave="{00000000-0000-0000-0000-000000000000}"/>
  <bookViews>
    <workbookView xWindow="-108" yWindow="-108" windowWidth="23256" windowHeight="12456" tabRatio="685" activeTab="3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1" l="1"/>
  <c r="I26" i="11"/>
  <c r="I31" i="11"/>
  <c r="C26" i="11"/>
  <c r="I25" i="11" l="1"/>
  <c r="B120" i="1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L20" i="11" s="1"/>
  <c r="C25" i="11"/>
  <c r="L18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J25" i="11" l="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5" i="11"/>
  <c r="B35" i="11"/>
  <c r="E37" i="11"/>
  <c r="I9" i="9"/>
  <c r="K6" i="9"/>
  <c r="K8" i="9"/>
  <c r="C77" i="11" l="1"/>
  <c r="D47" i="11"/>
  <c r="D53" i="11"/>
  <c r="B101" i="11"/>
  <c r="D101" i="11" s="1"/>
  <c r="E101" i="11" s="1"/>
  <c r="F76" i="11"/>
  <c r="E36" i="11"/>
  <c r="I37" i="11" s="1"/>
  <c r="E76" i="11"/>
  <c r="C76" i="11"/>
  <c r="D76" i="11"/>
  <c r="D77" i="11"/>
  <c r="I38" i="11"/>
  <c r="E77" i="11"/>
  <c r="E39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I31" i="4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<sst xmlns="http://schemas.openxmlformats.org/spreadsheetml/2006/main" count="938" uniqueCount="337">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</sst>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5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56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left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2" borderId="0" xfId="0" applyFont="1" applyFill="1" applyAlignment="1">
      <alignment horizontal="righ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opLeftCell="A21" zoomScaleNormal="100" workbookViewId="0">
      <selection activeCell="E39" sqref="E39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17" t="s">
        <v>50</v>
      </c>
      <c r="B3" s="317"/>
      <c r="C3" s="318" t="s">
        <v>130</v>
      </c>
      <c r="D3" s="318"/>
      <c r="E3" s="318"/>
      <c r="F3" s="9"/>
      <c r="G3" s="317" t="s">
        <v>56</v>
      </c>
      <c r="H3" s="317"/>
      <c r="I3" s="318" t="s">
        <v>129</v>
      </c>
      <c r="J3" s="318"/>
      <c r="K3" s="318"/>
      <c r="L3" s="31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17" t="s">
        <v>51</v>
      </c>
      <c r="B5" s="317"/>
      <c r="C5" s="319" t="s">
        <v>0</v>
      </c>
      <c r="D5" s="319"/>
      <c r="E5" s="319"/>
      <c r="F5" s="9"/>
      <c r="G5" s="317" t="s">
        <v>53</v>
      </c>
      <c r="H5" s="317"/>
      <c r="I5" s="320">
        <v>10000</v>
      </c>
      <c r="J5" s="320"/>
      <c r="K5" s="319" t="s">
        <v>2</v>
      </c>
      <c r="L5" s="31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0" t="s">
        <v>54</v>
      </c>
      <c r="B9" s="310"/>
      <c r="C9" s="310"/>
      <c r="O9" s="20"/>
      <c r="P9" s="20"/>
    </row>
    <row r="10" spans="1:18" ht="15.6" x14ac:dyDescent="0.3">
      <c r="A10" s="310" t="s">
        <v>55</v>
      </c>
      <c r="B10" s="310"/>
      <c r="C10" s="310"/>
      <c r="N10" s="20"/>
      <c r="O10" s="311"/>
      <c r="P10" s="311"/>
      <c r="Q10" s="44"/>
    </row>
    <row r="11" spans="1:18" ht="15" thickBot="1" x14ac:dyDescent="0.35"/>
    <row r="12" spans="1:18" ht="15" thickBot="1" x14ac:dyDescent="0.35">
      <c r="A12" s="312" t="s">
        <v>67</v>
      </c>
      <c r="B12" s="313"/>
      <c r="C12" s="314"/>
      <c r="E12" s="2"/>
      <c r="F12" s="2"/>
      <c r="G12" s="2"/>
      <c r="I12" s="315"/>
      <c r="J12" s="315"/>
      <c r="K12" s="315"/>
      <c r="M12" s="315"/>
      <c r="N12" s="315"/>
    </row>
    <row r="13" spans="1:18" x14ac:dyDescent="0.3">
      <c r="A13" s="308" t="s">
        <v>8</v>
      </c>
      <c r="B13" s="309"/>
      <c r="C13" s="135">
        <v>250</v>
      </c>
      <c r="E13" s="303"/>
      <c r="F13" s="303"/>
      <c r="G13" s="21"/>
      <c r="I13" s="303"/>
      <c r="J13" s="303"/>
      <c r="K13" s="21"/>
    </row>
    <row r="14" spans="1:18" x14ac:dyDescent="0.3">
      <c r="A14" s="306" t="s">
        <v>9</v>
      </c>
      <c r="B14" s="307"/>
      <c r="C14" s="30">
        <v>100</v>
      </c>
      <c r="E14" s="303"/>
      <c r="F14" s="303"/>
      <c r="G14" s="21"/>
      <c r="I14" s="303"/>
      <c r="J14" s="303"/>
      <c r="K14" s="21"/>
      <c r="M14" s="303"/>
      <c r="N14" s="303"/>
      <c r="O14" s="21"/>
      <c r="Q14" s="21"/>
    </row>
    <row r="15" spans="1:18" x14ac:dyDescent="0.3">
      <c r="A15" s="306" t="s">
        <v>6</v>
      </c>
      <c r="B15" s="307"/>
      <c r="C15" s="31">
        <v>20</v>
      </c>
      <c r="E15" s="303"/>
      <c r="F15" s="303"/>
      <c r="G15" s="21"/>
      <c r="I15" s="4"/>
      <c r="J15" s="4"/>
      <c r="K15" s="131"/>
      <c r="M15" s="303"/>
      <c r="N15" s="303"/>
      <c r="O15" s="21"/>
      <c r="Q15" s="21"/>
    </row>
    <row r="16" spans="1:18" x14ac:dyDescent="0.3">
      <c r="A16" s="306" t="s">
        <v>10</v>
      </c>
      <c r="B16" s="307"/>
      <c r="C16" s="136">
        <v>1</v>
      </c>
      <c r="E16" s="4"/>
      <c r="F16" s="4"/>
      <c r="G16" s="131"/>
      <c r="I16" s="303"/>
      <c r="J16" s="303"/>
      <c r="K16" s="6"/>
      <c r="M16" s="303"/>
      <c r="N16" s="303"/>
    </row>
    <row r="17" spans="1:14" ht="15" thickBot="1" x14ac:dyDescent="0.35">
      <c r="A17" s="301" t="s">
        <v>7</v>
      </c>
      <c r="B17" s="302"/>
      <c r="C17" s="32">
        <v>4</v>
      </c>
      <c r="E17" s="303"/>
      <c r="F17" s="303"/>
      <c r="G17" s="6"/>
      <c r="M17" s="303"/>
      <c r="N17" s="303"/>
    </row>
    <row r="18" spans="1:14" x14ac:dyDescent="0.3">
      <c r="L18">
        <f>1000/L19</f>
        <v>10.656436487638533</v>
      </c>
      <c r="M18" s="303"/>
      <c r="N18" s="303"/>
    </row>
    <row r="19" spans="1:14" x14ac:dyDescent="0.3">
      <c r="L19">
        <f>F25*G25</f>
        <v>93.84</v>
      </c>
      <c r="M19" s="267"/>
      <c r="N19" s="267"/>
    </row>
    <row r="20" spans="1:14" x14ac:dyDescent="0.3">
      <c r="L20">
        <f>L19/1000</f>
        <v>9.3840000000000007E-2</v>
      </c>
      <c r="M20" s="267"/>
      <c r="N20" s="267"/>
    </row>
    <row r="21" spans="1:14" x14ac:dyDescent="0.3">
      <c r="C21" s="304"/>
      <c r="D21" s="53"/>
      <c r="E21" s="304"/>
      <c r="F21" s="304"/>
      <c r="G21" s="304"/>
      <c r="H21" s="304"/>
    </row>
    <row r="22" spans="1:14" x14ac:dyDescent="0.3">
      <c r="C22" s="304"/>
      <c r="D22" s="53"/>
      <c r="E22" s="304"/>
      <c r="F22" s="304"/>
      <c r="G22" s="304"/>
      <c r="H22" s="304"/>
    </row>
    <row r="23" spans="1:14" ht="15" thickBot="1" x14ac:dyDescent="0.35">
      <c r="C23" s="305"/>
      <c r="D23" s="53"/>
      <c r="E23" s="305"/>
      <c r="F23" s="305"/>
      <c r="G23" s="305"/>
      <c r="H23" s="30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60</v>
      </c>
      <c r="E25" s="175">
        <f>VLOOKUP(B25,Material[],2,FALSE)</f>
        <v>0.92</v>
      </c>
      <c r="F25" s="175">
        <f>IF(A25="Substrate",D25*E25,C25*D25)</f>
        <v>55.2</v>
      </c>
      <c r="G25" s="176">
        <v>1.7</v>
      </c>
      <c r="H25" s="177">
        <v>0</v>
      </c>
      <c r="I25" s="178">
        <f>(IF(A25="Substrate",(F25*G25)/1000,(D25*G25)/1000))*(1+table1713[[#This Row],[Waste
%]])</f>
        <v>9.3840000000000007E-2</v>
      </c>
      <c r="J25" s="179">
        <f>IF(A25="Substrate",(($I$36*F25)/$B$37)*(1+H25),(($I$36*D25)/$B$37)*(1+H25))</f>
        <v>9651.1932861264104</v>
      </c>
      <c r="K25" s="180">
        <f>table1713[[#This Row],[Total GSM]]/$B$37</f>
        <v>0.96511932861264105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996.59061106740103</v>
      </c>
      <c r="K26" s="180">
        <f>table1713[[#This Row],[Total GSM]]/$B$37</f>
        <v>3.4880671387359036E-2</v>
      </c>
      <c r="M26" s="101"/>
    </row>
    <row r="27" spans="1:14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</row>
    <row r="28" spans="1:14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4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8" t="s">
        <v>38</v>
      </c>
      <c r="B31" s="299"/>
      <c r="C31" s="299"/>
      <c r="D31" s="299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996.59061106740103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" t="s">
        <v>40</v>
      </c>
      <c r="B35" s="36">
        <f>B37/B36</f>
        <v>0.92257440116138401</v>
      </c>
      <c r="C35" s="294" t="s">
        <v>66</v>
      </c>
      <c r="D35" s="294"/>
      <c r="E35" s="134">
        <f>IF(C5="Roll", (1000/(C13*C14*B37*0.001*0.001))*C16, IF(C5="Sleeve", (1000/(G14*G15*B37*0.001*0.001))*1, IF(C5="Bag or Pouch", (1000/(K14*K13*B37*0.001*0.001))*1, "")))</f>
        <v>699.36183232800067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SUMIFS(table1713[Micron],table1713[Type],"substrate")+SUMIFS(table1713[Total GSM],table1713[Type],"Ink")+SUMIFS(table1713[Total GSM],table1713[Type],"Adhesive")</f>
        <v>61.994999999999997</v>
      </c>
      <c r="C36" s="294" t="s">
        <v>59</v>
      </c>
      <c r="D36" s="294"/>
      <c r="E36" s="15">
        <f>1000/E35</f>
        <v>1.429875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57.195</v>
      </c>
      <c r="C37" s="300" t="s">
        <v>60</v>
      </c>
      <c r="D37" s="300"/>
      <c r="E37" s="15">
        <f>1000/B37</f>
        <v>17.484045808200019</v>
      </c>
      <c r="F37" s="294" t="s">
        <v>89</v>
      </c>
      <c r="G37" s="294"/>
      <c r="H37" s="294"/>
      <c r="I37" s="38">
        <f>(I36*1000)/E36/1000</f>
        <v>6993.6183232800067</v>
      </c>
    </row>
    <row r="38" spans="1:13" x14ac:dyDescent="0.3">
      <c r="A38" s="2" t="s">
        <v>83</v>
      </c>
      <c r="B38" s="16">
        <f>SUM(I25:I30)+I31</f>
        <v>0.1230525</v>
      </c>
      <c r="C38" s="294" t="s">
        <v>86</v>
      </c>
      <c r="D38" s="294"/>
      <c r="E38" s="15">
        <f>(E37/I35)*1000</f>
        <v>17.141221380588252</v>
      </c>
      <c r="F38" s="294" t="s">
        <v>135</v>
      </c>
      <c r="G38" s="294"/>
      <c r="H38" s="294"/>
      <c r="I38" s="38">
        <f>I36*E38</f>
        <v>171412.21380588252</v>
      </c>
    </row>
    <row r="39" spans="1:13" x14ac:dyDescent="0.3">
      <c r="C39" s="294" t="s">
        <v>151</v>
      </c>
      <c r="D39" s="294"/>
      <c r="E39" s="15">
        <f>IF(C5="Roll", ((E37/C13)*1000), IF(C5="Sleeve", ((E37/G14)*1000), IF(C5="Bag or Pouch", ((E37/K13)*1000), "")))</f>
        <v>69.936183232800076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0" t="s">
        <v>62</v>
      </c>
      <c r="B46" s="290"/>
      <c r="C46" s="290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0" t="s">
        <v>63</v>
      </c>
      <c r="B47" s="290"/>
      <c r="C47" s="290"/>
      <c r="D47" s="127">
        <f>IF(C5="Roll",(((D46/2)^2-(D44/2)^2)*PI()*C13*B35/1000000),IF(C5="Sleeve",(((D46/2)^2-(D44/2)^2)*PI()*G14*B35/1000000),IF(C5="Bag or Pouch",(((D46/2)^2-(D44/2)^2)*PI()*K13*B35/1000000))))</f>
        <v>59.60173029162047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0" t="s">
        <v>48</v>
      </c>
      <c r="B48" s="290"/>
      <c r="C48" s="290"/>
      <c r="D48" s="128">
        <f>IF(C5="Roll",((D47*1000/B35)/((B36/10000)*(C13/10))/100),IF(C5="Sleeve",((D47*1000/B35)/((B36/10000)*(G14/10))/100),IF(C5="Bag or Pouch",((D47*1000/B35)/((B36/10000)*(K13/10))/100))))</f>
        <v>4168.3175306666999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41683.175306666992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662.93579768320956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14.787418980180586</v>
      </c>
      <c r="F60" s="204">
        <v>300</v>
      </c>
      <c r="G60" s="207">
        <f>IFERROR(F60*E60,"")</f>
        <v>4436.2256940541756</v>
      </c>
      <c r="H60" s="291">
        <f>SUMIF($A$60:$A$69,"true",$G$60:$G$69)</f>
        <v>13971.149361338501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0">IF(A61=TRUE, D61+(OQM/C61/60),"")</f>
        <v>14.427480920392167</v>
      </c>
      <c r="F61" s="205">
        <v>300</v>
      </c>
      <c r="G61" s="208">
        <f t="shared" ref="G61:G69" si="1">IFERROR(F61*E61,"")</f>
        <v>4328.2442761176499</v>
      </c>
      <c r="H61" s="292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0"/>
        <v>6.2137404601960835</v>
      </c>
      <c r="F62" s="205">
        <v>50</v>
      </c>
      <c r="G62" s="208">
        <f t="shared" si="1"/>
        <v>310.68702300980419</v>
      </c>
      <c r="H62" s="292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0"/>
        <v>15.28435115049021</v>
      </c>
      <c r="F63" s="205">
        <v>100</v>
      </c>
      <c r="G63" s="208">
        <f t="shared" si="1"/>
        <v>1528.4351150490211</v>
      </c>
      <c r="H63" s="292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0"/>
        <v>15.28435115049021</v>
      </c>
      <c r="F64" s="205">
        <v>100</v>
      </c>
      <c r="G64" s="208">
        <f t="shared" si="1"/>
        <v>1528.4351150490211</v>
      </c>
      <c r="H64" s="292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0"/>
        <v>15.28435115049021</v>
      </c>
      <c r="F65" s="205">
        <v>100</v>
      </c>
      <c r="G65" s="208">
        <f t="shared" si="1"/>
        <v>1528.4351150490211</v>
      </c>
      <c r="H65" s="292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0"/>
        <v>6.2137404601960835</v>
      </c>
      <c r="F66" s="205">
        <v>50</v>
      </c>
      <c r="G66" s="208">
        <f t="shared" si="1"/>
        <v>310.68702300980419</v>
      </c>
      <c r="H66" s="292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292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292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293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1.3971149361338502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2.1514555468135326</v>
      </c>
      <c r="D75" s="183">
        <f>C75*D74</f>
        <v>0.64543666404405975</v>
      </c>
      <c r="E75" s="184">
        <v>0.1</v>
      </c>
      <c r="F75" s="184">
        <v>0.2</v>
      </c>
      <c r="G75" s="185">
        <f>H70</f>
        <v>1.3971149361338502</v>
      </c>
      <c r="H75" s="186">
        <f>SUM(C75:G75)</f>
        <v>4.4940071469914429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3.0763125000000002</v>
      </c>
      <c r="D76" s="91">
        <f>(D75/$E$35)*1000</f>
        <v>0.92289374999999996</v>
      </c>
      <c r="E76" s="91">
        <f>(E75/$E$35)*1000</f>
        <v>0.14298750000000002</v>
      </c>
      <c r="F76" s="91">
        <f>(F75/$E$35)*1000</f>
        <v>0.28597500000000003</v>
      </c>
      <c r="G76" s="91">
        <f>(G75/$E$35)*1000</f>
        <v>1.9976997193043891</v>
      </c>
      <c r="H76" s="188">
        <f>SUM(C76:G76)</f>
        <v>6.4258684693043895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0.12305249999999998</v>
      </c>
      <c r="D77" s="92">
        <f t="shared" ref="D77:G77" si="2">(D75/$E$37)</f>
        <v>3.6915749999999997E-2</v>
      </c>
      <c r="E77" s="92">
        <f t="shared" si="2"/>
        <v>5.7194999999999998E-3</v>
      </c>
      <c r="F77" s="92">
        <f t="shared" si="2"/>
        <v>1.1439E-2</v>
      </c>
      <c r="G77" s="92">
        <f t="shared" si="2"/>
        <v>7.9907988772175559E-2</v>
      </c>
      <c r="H77" s="189">
        <f>SUM(C77:G77)</f>
        <v>0.25703473877217553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3.0763124999999995E-2</v>
      </c>
      <c r="D78" s="92">
        <f>(D75/$E$39)</f>
        <v>9.2289374999999993E-3</v>
      </c>
      <c r="E78" s="92">
        <f>(E75/$E$39)</f>
        <v>1.4298749999999999E-3</v>
      </c>
      <c r="F78" s="92">
        <f>(F75/$E$39)</f>
        <v>2.8597499999999999E-3</v>
      </c>
      <c r="G78" s="92">
        <f>(G75/$E$39)</f>
        <v>1.997699719304389E-2</v>
      </c>
      <c r="H78" s="189">
        <f>SUM(C78:G78)</f>
        <v>6.4258684693043883E-2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15.381562499999998</v>
      </c>
      <c r="D79" s="191">
        <f>D78*500</f>
        <v>4.6144687499999995</v>
      </c>
      <c r="E79" s="191">
        <f t="shared" ref="E79:G79" si="3">E78*500</f>
        <v>0.7149375</v>
      </c>
      <c r="F79" s="191">
        <f t="shared" si="3"/>
        <v>1.429875</v>
      </c>
      <c r="G79" s="191">
        <f t="shared" si="3"/>
        <v>9.9884985965219446</v>
      </c>
      <c r="H79" s="192">
        <f>SUM(C79:G79)</f>
        <v>32.129342346521945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5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77"/>
      <c r="I88" s="277"/>
      <c r="J88" s="213"/>
      <c r="K88" s="277"/>
      <c r="L88" s="27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78" t="s">
        <v>159</v>
      </c>
      <c r="R92" s="278"/>
      <c r="S92" s="112">
        <f>H75</f>
        <v>4.4940071469914429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79" t="s">
        <v>148</v>
      </c>
      <c r="U94" s="280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3.5485704829473828</v>
      </c>
      <c r="S95" s="211">
        <f>R95/S92</f>
        <v>0.7896227947307578</v>
      </c>
      <c r="T95" s="271">
        <f>R96-R95</f>
        <v>-2.0028561972330969</v>
      </c>
      <c r="U95" s="273">
        <f>(R96-R95)/R95</f>
        <v>-0.56441212224973436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0.34395011738000447</v>
      </c>
      <c r="T96" s="272"/>
      <c r="U96" s="273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0.94543666404406013</v>
      </c>
      <c r="S97" s="218">
        <f>R97/S92</f>
        <v>0.21037720526924217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2.9482928612771571</v>
      </c>
      <c r="S98" s="211">
        <f>R98/S92</f>
        <v>0.65604988261999553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-0.70872432498323878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4" t="s">
        <v>145</v>
      </c>
      <c r="C122" s="274"/>
      <c r="D122" s="274"/>
      <c r="E122" s="140">
        <f>E121/C85</f>
        <v>0.919047619047619</v>
      </c>
    </row>
    <row r="123" spans="2:6" x14ac:dyDescent="0.3">
      <c r="B123" s="274" t="s">
        <v>142</v>
      </c>
      <c r="C123" s="274"/>
      <c r="D123" s="274"/>
      <c r="E123" s="159">
        <f>(E122-H70)/H70</f>
        <v>-0.34218180961486055</v>
      </c>
    </row>
  </sheetData>
  <mergeCells count="73"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O10:P10"/>
    <mergeCell ref="A12:C12"/>
    <mergeCell ref="I12:K12"/>
    <mergeCell ref="M12:N12"/>
    <mergeCell ref="A13:B13"/>
    <mergeCell ref="E13:F13"/>
    <mergeCell ref="I13:J13"/>
    <mergeCell ref="A14:B14"/>
    <mergeCell ref="E14:F14"/>
    <mergeCell ref="I14:J14"/>
    <mergeCell ref="M14:N14"/>
    <mergeCell ref="A15:B15"/>
    <mergeCell ref="E15:F15"/>
    <mergeCell ref="M15:N15"/>
    <mergeCell ref="A16:B16"/>
    <mergeCell ref="I16:J16"/>
    <mergeCell ref="M16:N1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abSelected="1" topLeftCell="A16" zoomScaleNormal="100" workbookViewId="0">
      <selection activeCell="K21" sqref="K2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17" t="s">
        <v>50</v>
      </c>
      <c r="B3" s="317"/>
      <c r="C3" s="318" t="s">
        <v>130</v>
      </c>
      <c r="D3" s="318"/>
      <c r="E3" s="318"/>
      <c r="F3" s="9"/>
      <c r="G3" s="317" t="s">
        <v>56</v>
      </c>
      <c r="H3" s="317"/>
      <c r="I3" s="318" t="s">
        <v>129</v>
      </c>
      <c r="J3" s="318"/>
      <c r="K3" s="318"/>
      <c r="L3" s="31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17" t="s">
        <v>51</v>
      </c>
      <c r="B5" s="317"/>
      <c r="C5" s="319" t="s">
        <v>0</v>
      </c>
      <c r="D5" s="319"/>
      <c r="E5" s="319"/>
      <c r="F5" s="9"/>
      <c r="G5" s="317" t="s">
        <v>53</v>
      </c>
      <c r="H5" s="317"/>
      <c r="I5" s="320">
        <v>10000</v>
      </c>
      <c r="J5" s="320"/>
      <c r="K5" s="319" t="s">
        <v>2</v>
      </c>
      <c r="L5" s="31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0" t="s">
        <v>54</v>
      </c>
      <c r="B9" s="310"/>
      <c r="C9" s="310"/>
      <c r="O9" s="20"/>
      <c r="P9" s="20"/>
    </row>
    <row r="10" spans="1:18" ht="15.6" x14ac:dyDescent="0.3">
      <c r="A10" s="310" t="s">
        <v>55</v>
      </c>
      <c r="B10" s="310"/>
      <c r="C10" s="310"/>
      <c r="N10" s="20"/>
      <c r="O10" s="311"/>
      <c r="P10" s="311"/>
      <c r="Q10" s="44"/>
    </row>
    <row r="11" spans="1:18" ht="15" thickBot="1" x14ac:dyDescent="0.35"/>
    <row r="12" spans="1:18" ht="15" thickBot="1" x14ac:dyDescent="0.35">
      <c r="A12" s="312" t="s">
        <v>67</v>
      </c>
      <c r="B12" s="313"/>
      <c r="C12" s="314"/>
      <c r="E12" s="2"/>
      <c r="F12" s="2"/>
      <c r="G12" s="2"/>
      <c r="I12" s="315"/>
      <c r="J12" s="315"/>
      <c r="K12" s="315"/>
      <c r="M12" s="315"/>
      <c r="N12" s="315"/>
    </row>
    <row r="13" spans="1:18" x14ac:dyDescent="0.3">
      <c r="A13" s="308" t="s">
        <v>8</v>
      </c>
      <c r="B13" s="309"/>
      <c r="C13" s="135">
        <v>250</v>
      </c>
      <c r="E13" s="303"/>
      <c r="F13" s="303"/>
      <c r="G13" s="21"/>
      <c r="I13" s="303"/>
      <c r="J13" s="303"/>
      <c r="K13" s="21"/>
    </row>
    <row r="14" spans="1:18" x14ac:dyDescent="0.3">
      <c r="A14" s="306" t="s">
        <v>9</v>
      </c>
      <c r="B14" s="307"/>
      <c r="C14" s="30">
        <v>100</v>
      </c>
      <c r="E14" s="303"/>
      <c r="F14" s="303"/>
      <c r="G14" s="21"/>
      <c r="I14" s="303"/>
      <c r="J14" s="303"/>
      <c r="K14" s="21"/>
      <c r="M14" s="303"/>
      <c r="N14" s="303"/>
      <c r="O14" s="21"/>
      <c r="Q14" s="21"/>
    </row>
    <row r="15" spans="1:18" x14ac:dyDescent="0.3">
      <c r="A15" s="306" t="s">
        <v>6</v>
      </c>
      <c r="B15" s="307"/>
      <c r="C15" s="31">
        <v>20</v>
      </c>
      <c r="E15" s="303"/>
      <c r="F15" s="303"/>
      <c r="G15" s="21"/>
      <c r="I15" s="4"/>
      <c r="J15" s="4"/>
      <c r="K15" s="131"/>
      <c r="M15" s="303"/>
      <c r="N15" s="303"/>
      <c r="O15" s="21"/>
      <c r="Q15" s="21"/>
    </row>
    <row r="16" spans="1:18" x14ac:dyDescent="0.3">
      <c r="A16" s="306" t="s">
        <v>10</v>
      </c>
      <c r="B16" s="307"/>
      <c r="C16" s="136">
        <v>1</v>
      </c>
      <c r="E16" s="4"/>
      <c r="F16" s="4"/>
      <c r="G16" s="131"/>
      <c r="I16" s="303"/>
      <c r="J16" s="303"/>
      <c r="K16" s="6"/>
      <c r="M16" s="303"/>
      <c r="N16" s="303"/>
    </row>
    <row r="17" spans="1:14" ht="15" thickBot="1" x14ac:dyDescent="0.35">
      <c r="A17" s="301" t="s">
        <v>7</v>
      </c>
      <c r="B17" s="302"/>
      <c r="C17" s="32">
        <v>4</v>
      </c>
      <c r="E17" s="303"/>
      <c r="F17" s="303"/>
      <c r="G17" s="6"/>
      <c r="M17" s="303"/>
      <c r="N17" s="303"/>
    </row>
    <row r="18" spans="1:14" x14ac:dyDescent="0.3">
      <c r="M18" s="303"/>
      <c r="N18" s="303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304"/>
      <c r="D21" s="53"/>
      <c r="E21" s="304"/>
      <c r="F21" s="304"/>
      <c r="G21" s="304"/>
      <c r="H21" s="304"/>
    </row>
    <row r="22" spans="1:14" x14ac:dyDescent="0.3">
      <c r="C22" s="304"/>
      <c r="D22" s="53"/>
      <c r="E22" s="304"/>
      <c r="F22" s="304"/>
      <c r="G22" s="304"/>
      <c r="H22" s="304"/>
    </row>
    <row r="23" spans="1:14" ht="15" thickBot="1" x14ac:dyDescent="0.35">
      <c r="C23" s="305"/>
      <c r="D23" s="53"/>
      <c r="E23" s="305"/>
      <c r="F23" s="305"/>
      <c r="G23" s="305"/>
      <c r="H23" s="30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8" t="s">
        <v>38</v>
      </c>
      <c r="B31" s="299"/>
      <c r="C31" s="299"/>
      <c r="D31" s="299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294" t="s">
        <v>66</v>
      </c>
      <c r="D35" s="294"/>
      <c r="E35" s="134">
        <f>IF(C5="Roll", (1000/(C13*C14*B37*0.001*0.001))*C16, IF(C5="Sleeve", (1000/(G14*G15*B37*0.001*0.001))*1, IF(C5="Bag or Pouch", (1000/(K14*K13*B37*0.001*0.001))*1, "")))</f>
        <v>346.02076124567475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294" t="s">
        <v>59</v>
      </c>
      <c r="D36" s="294"/>
      <c r="E36" s="15">
        <f>1000/E35</f>
        <v>2.89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294" t="s">
        <v>60</v>
      </c>
      <c r="D37" s="294"/>
      <c r="E37" s="15">
        <f>1000/B37</f>
        <v>8.6505190311418687</v>
      </c>
      <c r="F37" s="294" t="s">
        <v>89</v>
      </c>
      <c r="G37" s="294"/>
      <c r="H37" s="294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294" t="s">
        <v>86</v>
      </c>
      <c r="D38" s="294"/>
      <c r="E38" s="15">
        <f>(E37/I35)*1000</f>
        <v>8.4809010109234002</v>
      </c>
      <c r="F38" s="294" t="s">
        <v>135</v>
      </c>
      <c r="G38" s="294"/>
      <c r="H38" s="294"/>
      <c r="I38" s="38">
        <f>I36*E38</f>
        <v>84809.010109234005</v>
      </c>
    </row>
    <row r="39" spans="1:13" x14ac:dyDescent="0.3">
      <c r="C39" s="294" t="s">
        <v>151</v>
      </c>
      <c r="D39" s="294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0" t="s">
        <v>62</v>
      </c>
      <c r="B46" s="290"/>
      <c r="C46" s="290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0" t="s">
        <v>63</v>
      </c>
      <c r="B47" s="290"/>
      <c r="C47" s="290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0" t="s">
        <v>48</v>
      </c>
      <c r="B48" s="290"/>
      <c r="C48" s="290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291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292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292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292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292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292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292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92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92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93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5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77"/>
      <c r="I88" s="277"/>
      <c r="J88" s="213"/>
      <c r="K88" s="277"/>
      <c r="L88" s="27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78" t="s">
        <v>159</v>
      </c>
      <c r="R92" s="278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79" t="s">
        <v>148</v>
      </c>
      <c r="U94" s="280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71">
        <f>R96-R95</f>
        <v>-6.8260190812196253E-2</v>
      </c>
      <c r="U95" s="273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72"/>
      <c r="U96" s="273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4" t="s">
        <v>145</v>
      </c>
      <c r="C122" s="274"/>
      <c r="D122" s="274"/>
      <c r="E122" s="140">
        <f>E121/C85</f>
        <v>0.919047619047619</v>
      </c>
    </row>
    <row r="123" spans="2:6" x14ac:dyDescent="0.3">
      <c r="B123" s="274" t="s">
        <v>142</v>
      </c>
      <c r="C123" s="274"/>
      <c r="D123" s="274"/>
      <c r="E123" s="159">
        <f>(E122-H70)/H70</f>
        <v>-2.6611699687135438E-2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  <mergeCell ref="A1:L1"/>
    <mergeCell ref="A3:B3"/>
    <mergeCell ref="C3:E3"/>
    <mergeCell ref="G3:H3"/>
    <mergeCell ref="I3:L3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21" t="s">
        <v>174</v>
      </c>
      <c r="X1" s="321"/>
      <c r="Y1" s="321"/>
      <c r="Z1" s="321"/>
      <c r="AA1" s="321"/>
      <c r="AB1" s="321"/>
      <c r="AC1" s="321"/>
      <c r="AD1" s="321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17" t="s">
        <v>50</v>
      </c>
      <c r="B3" s="317"/>
      <c r="C3" s="318" t="s">
        <v>131</v>
      </c>
      <c r="D3" s="318"/>
      <c r="E3" s="318"/>
      <c r="F3" s="9"/>
      <c r="G3" s="317" t="s">
        <v>56</v>
      </c>
      <c r="H3" s="317"/>
      <c r="I3" s="318" t="s">
        <v>132</v>
      </c>
      <c r="J3" s="318"/>
      <c r="K3" s="318"/>
      <c r="L3" s="31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17" t="s">
        <v>51</v>
      </c>
      <c r="B5" s="317"/>
      <c r="C5" s="319" t="s">
        <v>1</v>
      </c>
      <c r="D5" s="319"/>
      <c r="E5" s="319"/>
      <c r="F5" s="9"/>
      <c r="G5" s="317" t="s">
        <v>53</v>
      </c>
      <c r="H5" s="317"/>
      <c r="I5" s="320">
        <v>20000</v>
      </c>
      <c r="J5" s="320"/>
      <c r="K5" s="319" t="s">
        <v>2</v>
      </c>
      <c r="L5" s="31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0" t="s">
        <v>54</v>
      </c>
      <c r="B9" s="310"/>
      <c r="C9" s="310"/>
      <c r="O9" s="20"/>
      <c r="P9" s="20"/>
      <c r="Q9" s="20"/>
    </row>
    <row r="10" spans="1:19" ht="15.6" x14ac:dyDescent="0.3">
      <c r="A10" s="310" t="s">
        <v>55</v>
      </c>
      <c r="B10" s="310"/>
      <c r="C10" s="310"/>
      <c r="N10" s="311"/>
      <c r="O10" s="311"/>
      <c r="P10" s="311"/>
      <c r="Q10" s="311"/>
      <c r="R10" s="44"/>
    </row>
    <row r="11" spans="1:19" ht="15" thickBot="1" x14ac:dyDescent="0.35"/>
    <row r="12" spans="1:19" ht="15" thickBot="1" x14ac:dyDescent="0.35">
      <c r="A12" s="315"/>
      <c r="B12" s="315"/>
      <c r="C12" s="315"/>
      <c r="E12" s="325" t="s">
        <v>68</v>
      </c>
      <c r="F12" s="326"/>
      <c r="G12" s="327"/>
      <c r="I12" s="315"/>
      <c r="J12" s="315"/>
      <c r="K12" s="315"/>
      <c r="M12" s="315"/>
      <c r="N12" s="315"/>
      <c r="O12" s="315"/>
    </row>
    <row r="13" spans="1:19" x14ac:dyDescent="0.3">
      <c r="A13" s="303"/>
      <c r="B13" s="303"/>
      <c r="C13" s="21"/>
      <c r="E13" s="328" t="s">
        <v>69</v>
      </c>
      <c r="F13" s="329"/>
      <c r="G13" s="29">
        <v>102</v>
      </c>
      <c r="I13" s="303"/>
      <c r="J13" s="303"/>
      <c r="K13" s="21"/>
      <c r="M13" s="303"/>
      <c r="N13" s="303"/>
      <c r="O13" s="129"/>
    </row>
    <row r="14" spans="1:19" x14ac:dyDescent="0.3">
      <c r="A14" s="303"/>
      <c r="B14" s="303"/>
      <c r="C14" s="21"/>
      <c r="E14" s="306" t="s">
        <v>8</v>
      </c>
      <c r="F14" s="307"/>
      <c r="G14" s="30">
        <v>33</v>
      </c>
      <c r="I14" s="303"/>
      <c r="J14" s="303"/>
      <c r="K14" s="21"/>
      <c r="M14" s="303"/>
      <c r="N14" s="303"/>
      <c r="O14" s="130"/>
      <c r="P14" s="21"/>
      <c r="R14" s="21"/>
    </row>
    <row r="15" spans="1:19" x14ac:dyDescent="0.3">
      <c r="A15" s="303"/>
      <c r="B15" s="303"/>
      <c r="C15" s="131"/>
      <c r="E15" s="323" t="s">
        <v>9</v>
      </c>
      <c r="F15" s="324"/>
      <c r="G15" s="30">
        <v>161</v>
      </c>
      <c r="I15" s="4"/>
      <c r="J15" s="4"/>
      <c r="K15" s="131"/>
      <c r="M15" s="303"/>
      <c r="N15" s="303"/>
      <c r="O15" s="130"/>
      <c r="P15" s="21"/>
      <c r="R15" s="21"/>
    </row>
    <row r="16" spans="1:19" x14ac:dyDescent="0.3">
      <c r="A16" s="303"/>
      <c r="B16" s="303"/>
      <c r="C16" s="6"/>
      <c r="E16" s="23" t="s">
        <v>6</v>
      </c>
      <c r="F16" s="22"/>
      <c r="G16" s="31">
        <v>20</v>
      </c>
      <c r="I16" s="303"/>
      <c r="J16" s="303"/>
      <c r="K16" s="6"/>
      <c r="M16" s="303"/>
      <c r="N16" s="303"/>
      <c r="O16" s="129"/>
    </row>
    <row r="17" spans="1:15" ht="15" thickBot="1" x14ac:dyDescent="0.35">
      <c r="A17" s="303"/>
      <c r="B17" s="303"/>
      <c r="C17" s="6"/>
      <c r="E17" s="301" t="s">
        <v>7</v>
      </c>
      <c r="F17" s="302"/>
      <c r="G17" s="32">
        <v>30</v>
      </c>
      <c r="M17" s="303"/>
      <c r="N17" s="303"/>
      <c r="O17" s="130"/>
    </row>
    <row r="18" spans="1:15" x14ac:dyDescent="0.3">
      <c r="M18" s="303"/>
      <c r="N18" s="303"/>
      <c r="O18" s="101"/>
    </row>
    <row r="19" spans="1:15" x14ac:dyDescent="0.3">
      <c r="M19" s="322"/>
      <c r="N19" s="322"/>
      <c r="O19" s="132"/>
    </row>
    <row r="20" spans="1:15" x14ac:dyDescent="0.3">
      <c r="M20" s="322"/>
      <c r="N20" s="322"/>
      <c r="O20" s="133"/>
    </row>
    <row r="21" spans="1:15" x14ac:dyDescent="0.3">
      <c r="C21" s="304" t="s">
        <v>81</v>
      </c>
      <c r="D21" s="53"/>
      <c r="E21" s="304" t="s">
        <v>81</v>
      </c>
      <c r="F21" s="304"/>
      <c r="G21" s="304" t="s">
        <v>81</v>
      </c>
      <c r="H21" s="304" t="s">
        <v>81</v>
      </c>
    </row>
    <row r="22" spans="1:15" x14ac:dyDescent="0.3">
      <c r="C22" s="304"/>
      <c r="D22" s="53"/>
      <c r="E22" s="304"/>
      <c r="F22" s="304"/>
      <c r="G22" s="304"/>
      <c r="H22" s="304"/>
    </row>
    <row r="23" spans="1:15" ht="15" thickBot="1" x14ac:dyDescent="0.35">
      <c r="C23" s="305"/>
      <c r="D23" s="53"/>
      <c r="E23" s="305"/>
      <c r="F23" s="305"/>
      <c r="G23" s="305"/>
      <c r="H23" s="305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8" t="s">
        <v>38</v>
      </c>
      <c r="B31" s="299"/>
      <c r="C31" s="299"/>
      <c r="D31" s="299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294" t="s">
        <v>66</v>
      </c>
      <c r="D35" s="294"/>
      <c r="E35" s="35">
        <f>IF(C5="Roll", (1000/(C13*C14*B37*0.001*0.001))*C16, IF(C5="Sleeve", (1000/(G14*G15*B37*0.001*0.001))*1, IF(C5="Bag or Pouch", (1000/(K14*K13*B37*0.001*0.001))*1, "")))</f>
        <v>5431.9647769676003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294" t="s">
        <v>59</v>
      </c>
      <c r="D36" s="294"/>
      <c r="E36" s="15">
        <f>1000/E35</f>
        <v>0.18409544999999999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294" t="s">
        <v>60</v>
      </c>
      <c r="D37" s="294"/>
      <c r="E37" s="15">
        <f>1000/B37</f>
        <v>28.860028860028862</v>
      </c>
      <c r="F37" s="294" t="s">
        <v>89</v>
      </c>
      <c r="G37" s="294"/>
      <c r="H37" s="294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294" t="s">
        <v>86</v>
      </c>
      <c r="D38" s="294"/>
      <c r="E38" s="15">
        <f>(E37/I35)*1000</f>
        <v>28.574286000028575</v>
      </c>
      <c r="F38" s="294" t="s">
        <v>87</v>
      </c>
      <c r="G38" s="294"/>
      <c r="H38" s="294"/>
      <c r="I38" s="38">
        <f>I36*E38</f>
        <v>571485.72000057145</v>
      </c>
    </row>
    <row r="39" spans="1:13" x14ac:dyDescent="0.3">
      <c r="C39" s="294" t="s">
        <v>151</v>
      </c>
      <c r="D39" s="294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294"/>
      <c r="D40" s="294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0" t="s">
        <v>62</v>
      </c>
      <c r="B46" s="290"/>
      <c r="C46" s="290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0" t="s">
        <v>63</v>
      </c>
      <c r="B47" s="290"/>
      <c r="C47" s="290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0" t="s">
        <v>48</v>
      </c>
      <c r="B48" s="290"/>
      <c r="C48" s="290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30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31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31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31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31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3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31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31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31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3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1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3" t="s">
        <v>146</v>
      </c>
      <c r="I87" s="334"/>
      <c r="J87" s="17" t="s">
        <v>148</v>
      </c>
      <c r="K87" s="335" t="s">
        <v>147</v>
      </c>
      <c r="L87" s="33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37">
        <f>C75+H70</f>
        <v>10.167385929069098</v>
      </c>
      <c r="I88" s="338"/>
      <c r="J88" s="162">
        <f>(K88-H88)/H88</f>
        <v>0.98761894452246557</v>
      </c>
      <c r="K88" s="339">
        <f>E106+E122</f>
        <v>20.20888888888889</v>
      </c>
      <c r="L88" s="34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78" t="s">
        <v>159</v>
      </c>
      <c r="R92" s="278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79" t="s">
        <v>148</v>
      </c>
      <c r="U94" s="280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71">
        <f>R96-R95</f>
        <v>10.041502959819791</v>
      </c>
      <c r="U95" s="273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72"/>
      <c r="U96" s="273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74" t="s">
        <v>145</v>
      </c>
      <c r="C122" s="274"/>
      <c r="D122" s="274"/>
      <c r="E122" s="140">
        <f>E121/C85</f>
        <v>1.6333333333333333</v>
      </c>
      <c r="P122" s="222"/>
    </row>
    <row r="123" spans="2:16" x14ac:dyDescent="0.3">
      <c r="B123" s="274" t="s">
        <v>142</v>
      </c>
      <c r="C123" s="274"/>
      <c r="D123" s="274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16" t="s">
        <v>153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17" t="s">
        <v>50</v>
      </c>
      <c r="B3" s="317"/>
      <c r="C3" s="318" t="s">
        <v>133</v>
      </c>
      <c r="D3" s="318"/>
      <c r="E3" s="318"/>
      <c r="F3" s="9"/>
      <c r="G3" s="317" t="s">
        <v>56</v>
      </c>
      <c r="H3" s="317"/>
      <c r="I3" s="318" t="s">
        <v>134</v>
      </c>
      <c r="J3" s="318"/>
      <c r="K3" s="318"/>
      <c r="L3" s="31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17" t="s">
        <v>51</v>
      </c>
      <c r="B5" s="317"/>
      <c r="C5" s="319" t="s">
        <v>52</v>
      </c>
      <c r="D5" s="319"/>
      <c r="E5" s="319"/>
      <c r="F5" s="9"/>
      <c r="G5" s="317" t="s">
        <v>53</v>
      </c>
      <c r="H5" s="317"/>
      <c r="I5" s="320">
        <v>500</v>
      </c>
      <c r="J5" s="320"/>
      <c r="K5" s="319" t="s">
        <v>3</v>
      </c>
      <c r="L5" s="31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0" t="s">
        <v>54</v>
      </c>
      <c r="B9" s="310"/>
      <c r="C9" s="310"/>
      <c r="O9" s="20"/>
      <c r="P9" s="20"/>
      <c r="Q9" s="20"/>
    </row>
    <row r="10" spans="1:19" ht="15.6" x14ac:dyDescent="0.3">
      <c r="A10" s="310" t="s">
        <v>55</v>
      </c>
      <c r="B10" s="310"/>
      <c r="C10" s="310"/>
      <c r="N10" s="311"/>
      <c r="O10" s="311"/>
      <c r="P10" s="311"/>
      <c r="Q10" s="311"/>
      <c r="R10" s="44"/>
    </row>
    <row r="11" spans="1:19" ht="15" thickBot="1" x14ac:dyDescent="0.35"/>
    <row r="12" spans="1:19" ht="15" thickBot="1" x14ac:dyDescent="0.35">
      <c r="A12" s="315"/>
      <c r="B12" s="315"/>
      <c r="C12" s="315"/>
      <c r="E12" s="315"/>
      <c r="F12" s="315"/>
      <c r="G12" s="315"/>
      <c r="I12" s="347" t="s">
        <v>70</v>
      </c>
      <c r="J12" s="348"/>
      <c r="K12" s="349"/>
      <c r="M12" s="347" t="s">
        <v>73</v>
      </c>
      <c r="N12" s="348"/>
      <c r="O12" s="349"/>
    </row>
    <row r="13" spans="1:19" x14ac:dyDescent="0.3">
      <c r="A13" s="303"/>
      <c r="B13" s="303"/>
      <c r="C13" s="21"/>
      <c r="E13" s="303"/>
      <c r="F13" s="303"/>
      <c r="G13" s="21"/>
      <c r="I13" s="328" t="s">
        <v>71</v>
      </c>
      <c r="J13" s="329"/>
      <c r="K13" s="29">
        <v>720</v>
      </c>
      <c r="M13" s="328" t="s">
        <v>75</v>
      </c>
      <c r="N13" s="329"/>
      <c r="O13" s="33">
        <v>6.94</v>
      </c>
    </row>
    <row r="14" spans="1:19" x14ac:dyDescent="0.3">
      <c r="A14" s="303"/>
      <c r="B14" s="303"/>
      <c r="C14" s="21"/>
      <c r="E14" s="303"/>
      <c r="F14" s="303"/>
      <c r="G14" s="21"/>
      <c r="I14" s="306" t="s">
        <v>72</v>
      </c>
      <c r="J14" s="307"/>
      <c r="K14" s="30">
        <v>310</v>
      </c>
      <c r="M14" s="306" t="s">
        <v>76</v>
      </c>
      <c r="N14" s="307"/>
      <c r="O14" s="34">
        <v>0.25</v>
      </c>
      <c r="P14" s="21"/>
      <c r="R14" s="21"/>
    </row>
    <row r="15" spans="1:19" x14ac:dyDescent="0.3">
      <c r="A15" s="303"/>
      <c r="B15" s="303"/>
      <c r="C15" s="131"/>
      <c r="E15" s="303"/>
      <c r="F15" s="303"/>
      <c r="G15" s="21"/>
      <c r="I15" s="23" t="s">
        <v>6</v>
      </c>
      <c r="J15" s="22"/>
      <c r="K15" s="31">
        <v>20</v>
      </c>
      <c r="M15" s="306" t="s">
        <v>74</v>
      </c>
      <c r="N15" s="307"/>
      <c r="O15" s="24">
        <f>O14/O13</f>
        <v>3.6023054755043228E-2</v>
      </c>
      <c r="P15" s="21"/>
      <c r="R15" s="21"/>
    </row>
    <row r="16" spans="1:19" ht="15" thickBot="1" x14ac:dyDescent="0.35">
      <c r="A16" s="303"/>
      <c r="B16" s="303"/>
      <c r="C16" s="6"/>
      <c r="E16" s="4"/>
      <c r="F16" s="4"/>
      <c r="G16" s="131"/>
      <c r="I16" s="301" t="s">
        <v>7</v>
      </c>
      <c r="J16" s="302"/>
      <c r="K16" s="32">
        <v>3</v>
      </c>
      <c r="M16" s="306" t="s">
        <v>77</v>
      </c>
      <c r="N16" s="307"/>
      <c r="O16" s="25">
        <f>K14*O13*0.001</f>
        <v>2.1514000000000002</v>
      </c>
    </row>
    <row r="17" spans="1:15" x14ac:dyDescent="0.3">
      <c r="A17" s="303"/>
      <c r="B17" s="303"/>
      <c r="C17" s="6"/>
      <c r="E17" s="303"/>
      <c r="F17" s="303"/>
      <c r="G17" s="6"/>
      <c r="M17" s="306" t="s">
        <v>78</v>
      </c>
      <c r="N17" s="307"/>
      <c r="O17" s="24">
        <f>O16*O15</f>
        <v>7.7500000000000013E-2</v>
      </c>
    </row>
    <row r="18" spans="1:15" x14ac:dyDescent="0.3">
      <c r="M18" s="306" t="s">
        <v>79</v>
      </c>
      <c r="N18" s="307"/>
      <c r="O18" s="26">
        <f>O17*E35</f>
        <v>2.0002432295767165</v>
      </c>
    </row>
    <row r="19" spans="1:15" x14ac:dyDescent="0.3">
      <c r="M19" s="341" t="s">
        <v>80</v>
      </c>
      <c r="N19" s="342"/>
      <c r="O19" s="27">
        <f>(O16*I37*1000)/O13</f>
        <v>155000</v>
      </c>
    </row>
    <row r="20" spans="1:15" ht="15" thickBot="1" x14ac:dyDescent="0.35">
      <c r="M20" s="343"/>
      <c r="N20" s="344"/>
      <c r="O20" s="28">
        <f>O16*I37</f>
        <v>1075.7</v>
      </c>
    </row>
    <row r="21" spans="1:15" x14ac:dyDescent="0.3">
      <c r="C21" s="304" t="s">
        <v>81</v>
      </c>
      <c r="D21" s="53"/>
      <c r="E21" s="304" t="s">
        <v>81</v>
      </c>
      <c r="F21" s="304"/>
      <c r="G21" s="304" t="s">
        <v>81</v>
      </c>
      <c r="H21" s="304" t="s">
        <v>81</v>
      </c>
    </row>
    <row r="22" spans="1:15" x14ac:dyDescent="0.3">
      <c r="C22" s="304"/>
      <c r="D22" s="53"/>
      <c r="E22" s="304"/>
      <c r="F22" s="304"/>
      <c r="G22" s="304"/>
      <c r="H22" s="304"/>
    </row>
    <row r="23" spans="1:15" ht="15" thickBot="1" x14ac:dyDescent="0.35">
      <c r="C23" s="305"/>
      <c r="D23" s="53"/>
      <c r="E23" s="305"/>
      <c r="F23" s="305"/>
      <c r="G23" s="305"/>
      <c r="H23" s="30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45" t="s">
        <v>38</v>
      </c>
      <c r="B33" s="346"/>
      <c r="C33" s="346"/>
      <c r="D33" s="346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294" t="s">
        <v>66</v>
      </c>
      <c r="D35" s="294"/>
      <c r="E35" s="35">
        <f>IF(C5="Roll", (1000/(C13*C14*B37*0.001*0.001))*C16, IF(C5="Sleeve", (1000/(G14*G15*B37*0.001*0.001))*1, IF(C5="Bag or Pouch", (1000/(K14*K13*B37*0.001*0.001))*1, "")))</f>
        <v>25.809590059054404</v>
      </c>
      <c r="F35" s="294" t="s">
        <v>65</v>
      </c>
      <c r="G35" s="294"/>
      <c r="H35" s="294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294" t="s">
        <v>59</v>
      </c>
      <c r="D36" s="294"/>
      <c r="E36" s="15">
        <f>1000/E35</f>
        <v>38.745288000000002</v>
      </c>
      <c r="F36" s="294" t="s">
        <v>88</v>
      </c>
      <c r="G36" s="294"/>
      <c r="H36" s="294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294" t="s">
        <v>60</v>
      </c>
      <c r="D37" s="294"/>
      <c r="E37" s="15">
        <f>1000/B37</f>
        <v>5.7607005011809438</v>
      </c>
      <c r="F37" s="294" t="s">
        <v>89</v>
      </c>
      <c r="G37" s="294"/>
      <c r="H37" s="294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294" t="s">
        <v>86</v>
      </c>
      <c r="D38" s="294"/>
      <c r="E38" s="15">
        <f>(E37/I35)*1000</f>
        <v>6.063895264400994</v>
      </c>
      <c r="F38" s="294" t="s">
        <v>87</v>
      </c>
      <c r="G38" s="294"/>
      <c r="H38" s="294"/>
      <c r="I38" s="38">
        <f>I36*E38</f>
        <v>117473.68421052633</v>
      </c>
    </row>
    <row r="39" spans="1:14" x14ac:dyDescent="0.3">
      <c r="C39" s="294" t="s">
        <v>61</v>
      </c>
      <c r="D39" s="294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295" t="s">
        <v>92</v>
      </c>
      <c r="B44" s="296"/>
      <c r="C44" s="297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90" t="s">
        <v>62</v>
      </c>
      <c r="B46" s="290"/>
      <c r="C46" s="290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90" t="s">
        <v>63</v>
      </c>
      <c r="B47" s="290"/>
      <c r="C47" s="290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90" t="s">
        <v>48</v>
      </c>
      <c r="B48" s="290"/>
      <c r="C48" s="290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0" t="s">
        <v>85</v>
      </c>
      <c r="B49" s="290"/>
      <c r="C49" s="290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0" t="s">
        <v>64</v>
      </c>
      <c r="B50" s="290"/>
      <c r="C50" s="290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0" t="s">
        <v>93</v>
      </c>
      <c r="B52" s="290"/>
      <c r="C52" s="290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0" t="s">
        <v>49</v>
      </c>
      <c r="B53" s="290"/>
      <c r="C53" s="290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30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31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31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31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31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3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31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31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31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3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81"/>
      <c r="C73" s="282" t="s">
        <v>41</v>
      </c>
      <c r="D73" s="80" t="s">
        <v>91</v>
      </c>
      <c r="E73" s="284" t="s">
        <v>42</v>
      </c>
      <c r="F73" s="286" t="s">
        <v>43</v>
      </c>
      <c r="G73" s="286" t="s">
        <v>107</v>
      </c>
      <c r="H73" s="288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81"/>
      <c r="C74" s="283"/>
      <c r="D74" s="181">
        <v>0.3</v>
      </c>
      <c r="E74" s="285"/>
      <c r="F74" s="287"/>
      <c r="G74" s="287"/>
      <c r="H74" s="289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5"/>
      <c r="I82" s="275"/>
      <c r="J82" s="275"/>
      <c r="K82" s="41"/>
      <c r="L82" s="41"/>
      <c r="M82" s="41"/>
      <c r="N82" s="41"/>
    </row>
    <row r="83" spans="1:21" ht="18" x14ac:dyDescent="0.35">
      <c r="A83" s="54"/>
      <c r="B83" s="276" t="s">
        <v>136</v>
      </c>
      <c r="C83" s="276"/>
      <c r="D83" s="276"/>
      <c r="E83" s="276"/>
      <c r="F83" s="276"/>
      <c r="G83" s="276"/>
      <c r="H83" s="276"/>
      <c r="I83" s="276"/>
      <c r="J83" s="276"/>
      <c r="K83" s="276"/>
      <c r="L83" s="27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3" t="s">
        <v>146</v>
      </c>
      <c r="I87" s="334"/>
      <c r="J87" s="17" t="s">
        <v>148</v>
      </c>
      <c r="K87" s="335" t="s">
        <v>147</v>
      </c>
      <c r="L87" s="33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37">
        <f>C75+H70</f>
        <v>3.0787051830524823</v>
      </c>
      <c r="I88" s="338"/>
      <c r="J88" s="162">
        <f>(K88-H88)/H88</f>
        <v>6.0858781331305026E-2</v>
      </c>
      <c r="K88" s="339">
        <f>E106+E122</f>
        <v>3.2660714285714287</v>
      </c>
      <c r="L88" s="34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78" t="s">
        <v>159</v>
      </c>
      <c r="R92" s="278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79" t="s">
        <v>148</v>
      </c>
      <c r="U94" s="280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71">
        <f>R96-R95</f>
        <v>0.18736624551894643</v>
      </c>
      <c r="U95" s="273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72"/>
      <c r="U96" s="273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74" t="s">
        <v>145</v>
      </c>
      <c r="C122" s="274"/>
      <c r="D122" s="274"/>
      <c r="E122" s="140">
        <f>E121/C85</f>
        <v>0.97142857142857142</v>
      </c>
      <c r="P122" s="222"/>
    </row>
    <row r="123" spans="2:16" x14ac:dyDescent="0.3">
      <c r="B123" s="274" t="s">
        <v>142</v>
      </c>
      <c r="C123" s="274"/>
      <c r="D123" s="274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50" t="s">
        <v>208</v>
      </c>
      <c r="H1" s="350"/>
      <c r="I1" s="350"/>
      <c r="J1" s="350"/>
      <c r="K1" s="350" t="s">
        <v>207</v>
      </c>
      <c r="L1" s="350"/>
      <c r="M1" s="350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51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51"/>
    </row>
    <row r="9" spans="2:17" x14ac:dyDescent="0.3">
      <c r="N9" t="s">
        <v>211</v>
      </c>
      <c r="O9" t="s">
        <v>200</v>
      </c>
      <c r="P9" s="19" t="s">
        <v>195</v>
      </c>
      <c r="Q9" s="351"/>
    </row>
    <row r="10" spans="2:17" x14ac:dyDescent="0.3">
      <c r="N10" t="s">
        <v>212</v>
      </c>
      <c r="O10" t="s">
        <v>197</v>
      </c>
      <c r="P10" s="19" t="s">
        <v>164</v>
      </c>
      <c r="Q10" s="351"/>
    </row>
    <row r="11" spans="2:17" x14ac:dyDescent="0.3">
      <c r="N11" t="s">
        <v>213</v>
      </c>
      <c r="O11" t="s">
        <v>198</v>
      </c>
      <c r="P11" s="19" t="s">
        <v>192</v>
      </c>
      <c r="Q11" s="351"/>
    </row>
    <row r="12" spans="2:17" x14ac:dyDescent="0.3">
      <c r="N12" t="s">
        <v>217</v>
      </c>
      <c r="O12" t="s">
        <v>216</v>
      </c>
      <c r="P12" s="19" t="s">
        <v>193</v>
      </c>
      <c r="Q12" s="351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10" workbookViewId="0">
      <selection activeCell="H24" sqref="H24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52">
        <v>1</v>
      </c>
      <c r="H8" s="353" t="s">
        <v>34</v>
      </c>
      <c r="I8" s="353" t="s">
        <v>328</v>
      </c>
      <c r="J8" s="353" t="s">
        <v>328</v>
      </c>
      <c r="K8" s="353" t="s">
        <v>328</v>
      </c>
      <c r="L8" s="353" t="s">
        <v>331</v>
      </c>
      <c r="M8" s="353" t="s">
        <v>328</v>
      </c>
      <c r="N8" s="353" t="s">
        <v>331</v>
      </c>
    </row>
    <row r="9" spans="7:14" x14ac:dyDescent="0.3">
      <c r="G9" s="352"/>
      <c r="H9" s="353"/>
      <c r="I9" s="353"/>
      <c r="J9" s="353"/>
      <c r="K9" s="353"/>
      <c r="L9" s="353"/>
      <c r="M9" s="353"/>
      <c r="N9" s="353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354" t="s">
        <v>326</v>
      </c>
      <c r="R20" s="354" t="s">
        <v>203</v>
      </c>
      <c r="S20" s="354" t="s">
        <v>14</v>
      </c>
      <c r="T20" s="354" t="s">
        <v>220</v>
      </c>
    </row>
    <row r="21" spans="7:20" x14ac:dyDescent="0.3">
      <c r="Q21" s="355" t="s">
        <v>238</v>
      </c>
      <c r="R21" s="355" t="s">
        <v>332</v>
      </c>
      <c r="S21" s="355">
        <v>0.9</v>
      </c>
      <c r="T21" s="355">
        <v>0</v>
      </c>
    </row>
    <row r="22" spans="7:20" x14ac:dyDescent="0.3">
      <c r="Q22" s="355" t="s">
        <v>238</v>
      </c>
      <c r="R22" s="355" t="s">
        <v>333</v>
      </c>
      <c r="S22" s="355">
        <v>0.79</v>
      </c>
      <c r="T22" s="355">
        <v>0</v>
      </c>
    </row>
    <row r="23" spans="7:20" x14ac:dyDescent="0.3">
      <c r="Q23" s="355" t="s">
        <v>238</v>
      </c>
      <c r="R23" s="355" t="s">
        <v>334</v>
      </c>
      <c r="S23" s="355">
        <v>0.79</v>
      </c>
      <c r="T23" s="355">
        <v>0</v>
      </c>
    </row>
    <row r="24" spans="7:20" x14ac:dyDescent="0.3">
      <c r="Q24" s="355" t="s">
        <v>238</v>
      </c>
      <c r="R24" s="355" t="s">
        <v>335</v>
      </c>
      <c r="S24" s="355">
        <v>0.8</v>
      </c>
      <c r="T24" s="355">
        <v>0</v>
      </c>
    </row>
    <row r="25" spans="7:20" x14ac:dyDescent="0.3">
      <c r="Q25" s="355" t="s">
        <v>238</v>
      </c>
      <c r="R25" s="355" t="s">
        <v>336</v>
      </c>
      <c r="S25" s="355">
        <v>0.87</v>
      </c>
      <c r="T25" s="355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74</vt:i4>
      </vt:variant>
    </vt:vector>
  </HeadingPairs>
  <TitlesOfParts>
    <vt:vector size="84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2026-06-25T14:00:32Z</dcterms:modified>
</cp:coreProperties>
</file>