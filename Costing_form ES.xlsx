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43C54ED6-92D1-4E55-8F98-AF96D22A2137}" xr6:coauthVersionLast="47" xr6:coauthVersionMax="47" xr10:uidLastSave="{00000000-0000-0000-0000-000000000000}"/>
  <bookViews>
    <workbookView xWindow="-108" yWindow="-108" windowWidth="23256" windowHeight="12456" tabRatio="685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Data" sheetId="2" r:id="rId5"/>
    <sheet name="Sleeve" sheetId="3" r:id="rId6"/>
    <sheet name="Pouch" sheetId="5" r:id="rId7"/>
    <sheet name="Overall" sheetId="6" r:id="rId8"/>
    <sheet name="Sheet1" sheetId="7" r:id="rId9"/>
    <sheet name="Sheet2" sheetId="10" r:id="rId10"/>
  </sheets>
  <definedNames>
    <definedName name="_xlnm._FilterDatabase" localSheetId="1" hidden="1">'Substrate Costing Master'!$A$1:$F$46</definedName>
    <definedName name="Adhesive" localSheetId="0">A[Adhesive]</definedName>
    <definedName name="Adhesive" localSheetId="6">A[Adhesive]</definedName>
    <definedName name="Adhesive" localSheetId="3">A[Adhesive]</definedName>
    <definedName name="Adhesive" localSheetId="5">A[Adhesive]</definedName>
    <definedName name="Adhesive">A[Adhesive]</definedName>
    <definedName name="CO_Pouch" localSheetId="0">'PE Bag'!$K$14</definedName>
    <definedName name="CO_Pouch" localSheetId="6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6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6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6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6">Table4[Ink]</definedName>
    <definedName name="Ink" localSheetId="3">Table4[Ink]</definedName>
    <definedName name="Ink" localSheetId="5">Table4[Ink]</definedName>
    <definedName name="Ink">Table4[Ink]</definedName>
    <definedName name="Nb_Ups_Sleeve" localSheetId="0">'PE Bag'!$G$17</definedName>
    <definedName name="Nb_Ups_Sleeve" localSheetId="6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6">Pouch!$I$36</definedName>
    <definedName name="OQKG" localSheetId="3">Roll!$I$36</definedName>
    <definedName name="OQKG">Sleeve!$I$36</definedName>
    <definedName name="OQM" localSheetId="0">'PE Bag'!$I$38</definedName>
    <definedName name="OQM" localSheetId="6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6">Pouch!$A$1:$O$78</definedName>
    <definedName name="_xlnm.Print_Area" localSheetId="3">Roll!$A$1:$L$79</definedName>
    <definedName name="_xlnm.Print_Area" localSheetId="5">Sleeve!$A$1:$L$78</definedName>
    <definedName name="Ptypes" localSheetId="0">PTypeT[Product Type]</definedName>
    <definedName name="Ptypes" localSheetId="6">PTypeT[Product Type]</definedName>
    <definedName name="Ptypes" localSheetId="3">PTypeT[Product Type]</definedName>
    <definedName name="Ptypes" localSheetId="5">PTypeT[Product Type]</definedName>
    <definedName name="Ptypes">PTypeT[Product Type]</definedName>
    <definedName name="Substrate" localSheetId="0">Table3[Substrate]</definedName>
    <definedName name="Substrate" localSheetId="6">Table3[Substrate]</definedName>
    <definedName name="Substrate" localSheetId="3">Table3[Substrate]</definedName>
    <definedName name="Substrate" localSheetId="5">Table3[Substrate]</definedName>
    <definedName name="Substrate">Table3[Substrate]</definedName>
    <definedName name="Substrates" localSheetId="0">Table3[Substrate]</definedName>
    <definedName name="Substrates" localSheetId="6">Table3[Substrate]</definedName>
    <definedName name="Substrates" localSheetId="3">Table3[Substrate]</definedName>
    <definedName name="Substrates" localSheetId="5">Table3[Substrate]</definedName>
    <definedName name="Substrates">Table3[Substrate]</definedName>
    <definedName name="Type" localSheetId="0">T[Material Type]</definedName>
    <definedName name="Type" localSheetId="6">T[Material Type]</definedName>
    <definedName name="Type" localSheetId="3">T[Material Type]</definedName>
    <definedName name="Type" localSheetId="5">T[Material Type]</definedName>
    <definedName name="Type">T[Material Type]</definedName>
    <definedName name="Unit" localSheetId="0">UT[Units]</definedName>
    <definedName name="Unit" localSheetId="6">UT[Units]</definedName>
    <definedName name="Unit" localSheetId="3">UT[Units]</definedName>
    <definedName name="Unit" localSheetId="5">UT[Units]</definedName>
    <definedName name="Unit">UT[Units]</definedName>
    <definedName name="UnitsDD" localSheetId="0">'PE Bag'!$K$5</definedName>
    <definedName name="UnitsDD" localSheetId="6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1" l="1"/>
  <c r="E35" i="11"/>
  <c r="E36" i="11" s="1"/>
  <c r="I31" i="4"/>
  <c r="E38" i="11"/>
  <c r="I26" i="11"/>
  <c r="I31" i="11"/>
  <c r="C26" i="11"/>
  <c r="I25" i="11" l="1"/>
  <c r="B120" i="1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B92" i="11"/>
  <c r="B91" i="11"/>
  <c r="G69" i="11"/>
  <c r="G68" i="11"/>
  <c r="G67" i="11"/>
  <c r="D49" i="11"/>
  <c r="I36" i="11"/>
  <c r="I35" i="11"/>
  <c r="G31" i="11"/>
  <c r="D104" i="11" s="1"/>
  <c r="E104" i="11" s="1"/>
  <c r="G26" i="11"/>
  <c r="E26" i="11"/>
  <c r="F26" i="11"/>
  <c r="E25" i="11"/>
  <c r="F25" i="11" s="1"/>
  <c r="L19" i="11" s="1"/>
  <c r="L20" i="11" s="1"/>
  <c r="C25" i="11"/>
  <c r="L18" i="11" l="1"/>
  <c r="D92" i="11"/>
  <c r="E92" i="11" s="1"/>
  <c r="D91" i="11"/>
  <c r="E91" i="11" s="1"/>
  <c r="E121" i="11"/>
  <c r="E122" i="11" s="1"/>
  <c r="F111" i="11"/>
  <c r="F115" i="11"/>
  <c r="F116" i="11"/>
  <c r="F118" i="11"/>
  <c r="F117" i="11"/>
  <c r="F113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J25" i="11" l="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7" i="11"/>
  <c r="I9" i="9"/>
  <c r="K6" i="9"/>
  <c r="K8" i="9"/>
  <c r="C77" i="11" l="1"/>
  <c r="D47" i="11"/>
  <c r="D53" i="11"/>
  <c r="B101" i="11"/>
  <c r="D101" i="11" s="1"/>
  <c r="E101" i="11" s="1"/>
  <c r="F76" i="11"/>
  <c r="I37" i="11"/>
  <c r="E76" i="11"/>
  <c r="C76" i="11"/>
  <c r="D76" i="11"/>
  <c r="D77" i="11"/>
  <c r="I38" i="11"/>
  <c r="E77" i="11"/>
  <c r="E39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H78" i="11" s="1"/>
  <c r="U95" i="11"/>
  <c r="T95" i="1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R98" i="11" l="1"/>
  <c r="S98" i="11" s="1"/>
  <c r="R97" i="11"/>
  <c r="S97" i="11" s="1"/>
  <c r="S96" i="11"/>
  <c r="G79" i="11"/>
  <c r="H79" i="11" s="1"/>
  <c r="B112" i="4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F26" i="4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B101" i="4" s="1"/>
  <c r="D101" i="4" s="1"/>
  <c r="E101" i="4" s="1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7" i="5" s="1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<sst xmlns="http://schemas.openxmlformats.org/spreadsheetml/2006/main" count="938" uniqueCount="337">
  <si>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</si>
  <si>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</si>
  <si>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</si>
  <si>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</si>
  <si>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</si>
  <si>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</si>
  <si>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</si>
  <si>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</si>
  <si>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</si>
  <si>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</si>
  <si>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</si>
  <si>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</si>
  <si>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</si>
  <si>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</si>
  <si>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</si>
  <si>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</si>
  <si>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</si>
  <si>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</si>
  <si>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</si>
  <si>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</si>
  <si>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</si>
  <si>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</si>
  <si>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</si>
  <si>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</si>
  <si>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</si>
  <si>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</si>
  <si>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</si>
  <si>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</si>
  <si>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</si>
  <si>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</si>
  <si>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</si>
  <si>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</si>
  <si>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</si>
  <si>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</si>
  <si>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</si>
  <si>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</si>
  <si>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</si>
  <si>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</si>
  <si>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</si>
  <si>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</si>
  <si>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</si>
  <si>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</si>
  <si>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</si>
  <si>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</si>
  <si>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</si>
  <si>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</si>
  <si>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</si>
  <si>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</si>
  <si>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</si>
  <si>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</si>
  <si>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</si>
  <si>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</si>
  <si>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</si>
  <si>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</si>
  <si>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</si>
  <si>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</si>
  <si>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</si>
  <si>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</si>
  <si>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</si>
  <si>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</si>
  <si>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</si>
  <si>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</si>
  <si>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</si>
  <si>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</si>
  <si>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</si>
  <si>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</si>
  <si>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</si>
  <si>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</si>
  <si>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</si>
  <si>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</si>
  <si>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</si>
  <si>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</si>
  <si>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</si>
  <si>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</si>
  <si>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</si>
  <si>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</si>
  <si>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</si>
  <si>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</si>
  <si>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</si>
  <si>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</si>
  <si>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</si>
  <si>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</si>
  <si>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</si>
  <si>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</si>
  <si>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</si>
  <si>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</si>
  <si>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</si>
  <si>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</si>
  <si>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</si>
  <si>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</si>
  <si>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</si>
  <si>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</si>
  <si>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</si>
  <si>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</si>
  <si>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</si>
  <si>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</si>
  <si>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</si>
  <si>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</si>
  <si>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</si>
  <si>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</si>
  <si>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</si>
  <si>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</si>
  <si>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</si>
  <si>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</si>
  <si>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</si>
  <si>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</si>
  <si>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</si>
  <si>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</si>
  <si>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</si>
  <si>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</si>
  <si>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</si>
  <si>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</si>
  <si>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</si>
  <si>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</si>
  <si>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</si>
  <si>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</si>
  <si>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</si>
  <si>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</si>
  <si>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</si>
  <si>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</si>
  <si>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</si>
  <si>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</si>
  <si>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</si>
  <si>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</si>
  <si>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</si>
  <si>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</si>
  <si>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</si>
  <si>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</si>
  <si>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</si>
  <si>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</si>
  <si>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</si>
  <si>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</si>
  <si>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</si>
  <si>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</si>
  <si>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</si>
  <si>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</si>
  <si>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</si>
  <si>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</si>
  <si>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</si>
  <si>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</si>
  <si>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</si>
  <si>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</si>
  <si>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</si>
  <si>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</si>
  <si>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</si>
  <si>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</si>
  <si>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</si>
  <si>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</si>
  <si>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</si>
  <si>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</si>
  <si>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</si>
  <si>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</si>
  <si>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</si>
  <si>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</si>
  <si>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</si>
  <si>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</si>
  <si>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</si>
  <si>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</si>
  <si>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</si>
  <si>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</si>
  <si>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</si>
  <si>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</si>
  <si>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</si>
  <si>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</si>
  <si>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</si>
  <si>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</si>
  <si>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</si>
  <si>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</si>
  <si>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</si>
  <si>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</si>
  <si>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</si>
  <si>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</si>
  <si>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</si>
  <si>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</si>
  <si>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</si>
  <si>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</si>
  <si>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</si>
  <si>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</si>
  <si>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</si>
  <si>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</si>
  <si>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</si>
  <si>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</si>
  <si>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</si>
  <si>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</si>
  <si>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</si>
  <si>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</si>
  <si>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</si>
  <si>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</si>
  <si>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</si>
  <si>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</si>
  <si>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</si>
  <si>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</si>
  <si>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</si>
  <si>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</si>
  <si>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</si>
  <si>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</si>
  <si>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</si>
  <si>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</si>
  <si>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</si>
  <si>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</si>
  <si>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</si>
  <si>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</si>
  <si>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</si>
  <si>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</si>
  <si>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</si>
  <si>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</si>
  <si>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</si>
  <si>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</si>
  <si>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</si>
  <si>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</si>
  <si>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</si>
  <si>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</si>
  <si>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</si>
  <si>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</si>
  <si>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</si>
  <si>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</si>
  <si>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</si>
  <si>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</si>
  <si>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</si>
  <si>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</si>
  <si>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</si>
  <si>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</si>
  <si>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</si>
  <si>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</si>
  <si>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</si>
  <si>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</si>
  <si>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</si>
  <si>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</si>
  <si>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</si>
  <si>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</si>
  <si>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</si>
  <si>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</si>
  <si>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</si>
  <si>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</si>
  <si>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</si>
  <si>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</si>
  <si>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</si>
  <si>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</si>
  <si>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</si>
  <si>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</si>
  <si>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</si>
  <si>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</si>
  <si>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</si>
  <si>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</si>
  <si>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</si>
  <si>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</si>
  <si>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</si>
  <si>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</si>
  <si>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</si>
  <si>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</si>
  <si>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</si>
  <si>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</si>
  <si>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</si>
  <si>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</si>
  <si>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</si>
  <si>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</si>
  <si>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</si>
  <si>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</si>
  <si>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</si>
  <si>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</si>
  <si>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</si>
  <si>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</si>
  <si>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</si>
  <si>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</si>
  <si>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</si>
  <si>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</si>
  <si>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</si>
  <si>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</si>
  <si>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</si>
  <si>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</si>
  <si>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</si>
  <si>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</si>
  <si>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</si>
  <si>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</si>
  <si>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</si>
  <si>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</si>
  <si>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</si>
  <si>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</si>
  <si>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</si>
  <si>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</si>
  <si>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</si>
  <si>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</si>
  <si>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</si>
  <si>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</si>
  <si>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</si>
  <si>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</si>
  <si>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</si>
  <si>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</si>
  <si>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</si>
  <si>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</si>
  <si>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</si>
  <si>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</si>
  <si>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</si>
  <si>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</si>
  <si>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</si>
  <si>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</si>
  <si>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</si>
  <si>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</si>
  <si>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</si>
  <si>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</si>
  <si>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</si>
  <si>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</si>
  <si>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</si>
  <si>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</si>
  <si>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</si>
  <si>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</si>
  <si>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</si>
  <si>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</si>
  <si>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</si>
  <si>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</si>
  <si>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</si>
  <si>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</si>
  <si>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</si>
  <si>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</si>
  <si>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</si>
  <si>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</si>
  <si>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</si>
  <si>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</si>
  <si>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</si>
  <si>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</si>
  <si>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</si>
  <si>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</si>
  <si>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</si>
  <si>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</si>
  <si>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</si>
  <si>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</si>
  <si>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</si>
  <si>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</si>
  <si>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</si>
  <si>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</si>
  <si>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</si>
  <si>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</si>
  <si>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Ethyl Acetate</t>
  </si>
  <si>
    <t>Ethanol</t>
  </si>
  <si>
    <t>IPA</t>
  </si>
  <si>
    <t>MEK</t>
  </si>
  <si>
    <t>Toluene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</si>
</sst>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</numFmts>
  <fonts count="5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57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0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0" xfId="0" applyAlignment="1">
      <alignment horizontal="center"/>
    </xf>
    <xf numFmtId="0" fontId="18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7" borderId="0" xfId="0" applyFont="1" applyFill="1" applyAlignment="1">
      <alignment horizontal="right"/>
    </xf>
    <xf numFmtId="0" fontId="25" fillId="7" borderId="0" xfId="0" applyFont="1" applyFill="1" applyAlignment="1">
      <alignment horizontal="center"/>
    </xf>
    <xf numFmtId="165" fontId="22" fillId="0" borderId="0" xfId="0" applyNumberFormat="1" applyFont="1" applyAlignment="1">
      <alignment horizontal="center" vertical="top" shrinkToFit="1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7" borderId="18" xfId="0" applyFill="1" applyBorder="1" applyAlignment="1">
      <alignment horizontal="left"/>
    </xf>
    <xf numFmtId="0" fontId="1" fillId="2" borderId="0" xfId="0" applyFont="1" applyFill="1" applyAlignment="1">
      <alignment horizontal="right"/>
    </xf>
    <xf numFmtId="0" fontId="1" fillId="4" borderId="70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 vertic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0" fontId="1" fillId="2" borderId="0" xfId="0" applyFont="1" applyFill="1"/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440871</xdr:colOff>
      <xdr:row>5</xdr:row>
      <xdr:rowOff>45719</xdr:rowOff>
    </xdr:from>
    <xdr:to>
      <xdr:col>19</xdr:col>
      <xdr:colOff>594918</xdr:colOff>
      <xdr:row>29</xdr:row>
      <xdr:rowOff>42609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6A5981-F640-E0D0-A92C-F71EB9A51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8871" y="971005"/>
          <a:ext cx="7926447" cy="5058747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8</xdr:row>
      <xdr:rowOff>1</xdr:rowOff>
    </xdr:from>
    <xdr:to>
      <xdr:col>33</xdr:col>
      <xdr:colOff>58264</xdr:colOff>
      <xdr:row>26</xdr:row>
      <xdr:rowOff>72665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C73FAC-99C2-B66B-F79F-D83BD0C8A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30000" y="1589315"/>
          <a:ext cx="7983064" cy="3915321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72" dataDxfId="70" headerRowBorderDxfId="71" tableBorderDxfId="69">
  <tableColumns count="11">
    <tableColumn id="1" xr3:uid="{F62923DA-268D-4C05-A3FD-5B6724B9C52C}" name="Type" dataDxfId="68"/>
    <tableColumn id="2" xr3:uid="{EB94C18A-53C7-49B4-9951-B0D45387F534}" name="Material" dataDxfId="67"/>
    <tableColumn id="3" xr3:uid="{742DCF28-FF0E-4DEB-9692-48856C57FDDF}" name="Solid_x000a_%" dataDxfId="66" dataCellStyle="Percent">
      <calculatedColumnFormula>VLOOKUP(B25,Material[],3,FALSE)</calculatedColumnFormula>
    </tableColumn>
    <tableColumn id="4" xr3:uid="{BB064559-D4BA-4F16-8EC1-30E2B240321C}" name="Micron" dataDxfId="65"/>
    <tableColumn id="5" xr3:uid="{304CED41-D1B2-4094-B75A-C9F02E2BBC34}" name="Density" dataDxfId="64">
      <calculatedColumnFormula>VLOOKUP(B25,Material[],2,FALSE)</calculatedColumnFormula>
    </tableColumn>
    <tableColumn id="6" xr3:uid="{3703A15F-9D1D-4E2C-ABDC-02144AEBEB95}" name="Total GSM" dataDxfId="63">
      <calculatedColumnFormula>IF(A25="Substrate",D25*E25,C25*D25)</calculatedColumnFormula>
    </tableColumn>
    <tableColumn id="7" xr3:uid="{BC31FE8B-DCB1-4E2C-8E3E-C33A9BE69C66}" name="Cost Per Kg" dataDxfId="62">
      <calculatedColumnFormula>VLOOKUP(B25,Material[],4,FALSE)</calculatedColumnFormula>
    </tableColumn>
    <tableColumn id="8" xr3:uid="{F0C08983-AA5A-4AB5-9E4B-3B623409C8D0}" name="Waste_x000a_%" dataDxfId="61" dataCellStyle="Percent"/>
    <tableColumn id="9" xr3:uid="{7B582428-6E7D-4270-972B-EC6937A949FF}" name="Cost / M²" dataDxfId="60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59">
      <calculatedColumnFormula>IF(A25="Substrate",(($I$36*F25)/$B$37)*(1+H25),(($I$36*D25)/$B$37)*(1+H25))</calculatedColumnFormula>
    </tableColumn>
    <tableColumn id="11" xr3:uid="{278FA076-FBD1-45DE-85C5-F02299C9C71A}" name="Layer %" dataDxfId="58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57" dataDxfId="55" headerRowBorderDxfId="56" tableBorderDxfId="54" totalsRowBorderDxfId="53" headerRowCellStyle="Normal 2" dataCellStyle="Normal 2">
  <autoFilter ref="A1:F46" xr:uid="{D190CAB3-23AB-4480-A7AB-E53E1B4A3389}"/>
  <tableColumns count="6">
    <tableColumn id="1" xr3:uid="{3B982C09-5FFF-4749-A77B-1A3F304690CC}" name="Substrate Family" dataDxfId="52" dataCellStyle="Normal 2"/>
    <tableColumn id="2" xr3:uid="{F17B36C7-B44A-44E3-87F2-2C18A83E9178}" name="Substrate Grade" dataDxfId="51" dataCellStyle="Normal 2"/>
    <tableColumn id="3" xr3:uid="{625C4FD8-DA79-4673-AA78-B61A17304DF3}" name="Density (g/cm3)" dataDxfId="50" dataCellStyle="Normal 2"/>
    <tableColumn id="4" xr3:uid="{9EE73D4B-D438-4F05-8A77-7CA02A1A151B}" name="Hoover" dataDxfId="49" dataCellStyle="Normal 2"/>
    <tableColumn id="5" xr3:uid="{FB283264-0925-4473-A7EF-E54984885832}" name="User Price" dataDxfId="48" dataCellStyle="Normal 2"/>
    <tableColumn id="6" xr3:uid="{CB02BE89-6280-4DC3-B6D5-7502235403B8}" name="Market Price " dataDxfId="47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87" dataDxfId="85" headerRowBorderDxfId="86" tableBorderDxfId="84">
  <tableColumns count="11">
    <tableColumn id="1" xr3:uid="{96576271-5AB6-4D1F-A650-9AFB007DB6B2}" name="Type" dataDxfId="83"/>
    <tableColumn id="2" xr3:uid="{D5E0E192-5AD5-4727-9F12-EAD3A3982878}" name="Material" dataDxfId="82"/>
    <tableColumn id="3" xr3:uid="{0DB7A82F-E4FA-413B-A42B-A42EA7407217}" name="Solid_x000a_%" dataDxfId="81" dataCellStyle="Percent">
      <calculatedColumnFormula>VLOOKUP(B25,Material[],3,FALSE)</calculatedColumnFormula>
    </tableColumn>
    <tableColumn id="4" xr3:uid="{229B6022-DBB2-4CCF-A1DD-CAC6A675883F}" name="Micron" dataDxfId="80"/>
    <tableColumn id="5" xr3:uid="{ECD14A31-499F-4FEA-AB58-37B0A4874C9A}" name="Density" dataDxfId="79">
      <calculatedColumnFormula>VLOOKUP(B25,Material[],2,FALSE)</calculatedColumnFormula>
    </tableColumn>
    <tableColumn id="6" xr3:uid="{DAE41353-B150-4A08-BB72-00C15FCE5305}" name="Total GSM" dataDxfId="78">
      <calculatedColumnFormula>IF(A25="Substrate",D25*E25,C25*D25)</calculatedColumnFormula>
    </tableColumn>
    <tableColumn id="7" xr3:uid="{2D2E4074-B605-494F-B5C2-626AD0F02E8D}" name="Cost Per Kg" dataDxfId="77">
      <calculatedColumnFormula>VLOOKUP(B25,Material[],4,FALSE)</calculatedColumnFormula>
    </tableColumn>
    <tableColumn id="8" xr3:uid="{BF124759-5704-403F-A548-F9852A5E0F80}" name="Waste_x000a_%" dataDxfId="76" dataCellStyle="Percent"/>
    <tableColumn id="9" xr3:uid="{DE2AE453-E261-446C-84FD-C8FABCC2AE41}" name="Cost / M²" dataDxfId="75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74">
      <calculatedColumnFormula>IF(A25="Substrate",(($I$36*F25)/$B$37)*(1+H25),(($I$36*D25)/$B$37)*(1+H25))</calculatedColumnFormula>
    </tableColumn>
    <tableColumn id="11" xr3:uid="{7729127E-5092-4133-A3D4-F264CCBA79B7}" name="Layer %" dataDxfId="73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abSelected="1" topLeftCell="A13" zoomScale="80" zoomScaleNormal="80" workbookViewId="0">
      <selection activeCell="N23" sqref="N23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89" t="s">
        <v>153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79" t="s">
        <v>50</v>
      </c>
      <c r="B3" s="279"/>
      <c r="C3" s="290" t="s">
        <v>130</v>
      </c>
      <c r="D3" s="290"/>
      <c r="E3" s="290"/>
      <c r="F3" s="9"/>
      <c r="G3" s="279" t="s">
        <v>56</v>
      </c>
      <c r="H3" s="279"/>
      <c r="I3" s="290" t="s">
        <v>129</v>
      </c>
      <c r="J3" s="290"/>
      <c r="K3" s="290"/>
      <c r="L3" s="290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79" t="s">
        <v>51</v>
      </c>
      <c r="B5" s="279"/>
      <c r="C5" s="280" t="s">
        <v>0</v>
      </c>
      <c r="D5" s="280"/>
      <c r="E5" s="280"/>
      <c r="F5" s="9"/>
      <c r="G5" s="279" t="s">
        <v>53</v>
      </c>
      <c r="H5" s="279"/>
      <c r="I5" s="281">
        <v>10000</v>
      </c>
      <c r="J5" s="281"/>
      <c r="K5" s="280" t="s">
        <v>2</v>
      </c>
      <c r="L5" s="280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82" t="s">
        <v>54</v>
      </c>
      <c r="B9" s="282"/>
      <c r="C9" s="282"/>
      <c r="O9" s="20"/>
      <c r="P9" s="20"/>
    </row>
    <row r="10" spans="1:18" ht="15.6" x14ac:dyDescent="0.3">
      <c r="A10" s="282" t="s">
        <v>55</v>
      </c>
      <c r="B10" s="282"/>
      <c r="C10" s="282"/>
      <c r="N10" s="20"/>
      <c r="O10" s="288"/>
      <c r="P10" s="288"/>
      <c r="Q10" s="44"/>
    </row>
    <row r="11" spans="1:18" ht="15" thickBot="1" x14ac:dyDescent="0.35"/>
    <row r="12" spans="1:18" ht="15" thickBot="1" x14ac:dyDescent="0.35">
      <c r="A12" s="291" t="s">
        <v>67</v>
      </c>
      <c r="B12" s="292"/>
      <c r="C12" s="293"/>
      <c r="E12" s="2"/>
      <c r="F12" s="2"/>
      <c r="G12" s="2"/>
      <c r="I12" s="294"/>
      <c r="J12" s="294"/>
      <c r="K12" s="294"/>
      <c r="M12" s="294"/>
      <c r="N12" s="294"/>
    </row>
    <row r="13" spans="1:18" x14ac:dyDescent="0.3">
      <c r="A13" s="286" t="s">
        <v>8</v>
      </c>
      <c r="B13" s="287"/>
      <c r="C13" s="135">
        <v>250</v>
      </c>
      <c r="E13" s="283"/>
      <c r="F13" s="283"/>
      <c r="G13" s="21"/>
      <c r="I13" s="283"/>
      <c r="J13" s="283"/>
      <c r="K13" s="21"/>
    </row>
    <row r="14" spans="1:18" x14ac:dyDescent="0.3">
      <c r="A14" s="295" t="s">
        <v>9</v>
      </c>
      <c r="B14" s="296"/>
      <c r="C14" s="30">
        <v>100</v>
      </c>
      <c r="E14" s="283"/>
      <c r="F14" s="283"/>
      <c r="G14" s="21"/>
      <c r="I14" s="283"/>
      <c r="J14" s="283"/>
      <c r="K14" s="21"/>
      <c r="M14" s="283"/>
      <c r="N14" s="283"/>
      <c r="O14" s="21"/>
      <c r="Q14" s="21"/>
    </row>
    <row r="15" spans="1:18" x14ac:dyDescent="0.3">
      <c r="A15" s="295" t="s">
        <v>6</v>
      </c>
      <c r="B15" s="296"/>
      <c r="C15" s="31">
        <v>20</v>
      </c>
      <c r="E15" s="283"/>
      <c r="F15" s="283"/>
      <c r="G15" s="21"/>
      <c r="I15" s="4"/>
      <c r="J15" s="4"/>
      <c r="K15" s="131"/>
      <c r="M15" s="283"/>
      <c r="N15" s="283"/>
      <c r="O15" s="21"/>
      <c r="Q15" s="21"/>
    </row>
    <row r="16" spans="1:18" x14ac:dyDescent="0.3">
      <c r="A16" s="295" t="s">
        <v>10</v>
      </c>
      <c r="B16" s="296"/>
      <c r="C16" s="136">
        <v>1</v>
      </c>
      <c r="E16" s="4"/>
      <c r="F16" s="4"/>
      <c r="G16" s="131"/>
      <c r="I16" s="283"/>
      <c r="J16" s="283"/>
      <c r="K16" s="6"/>
      <c r="M16" s="283"/>
      <c r="N16" s="283"/>
    </row>
    <row r="17" spans="1:14" ht="15" thickBot="1" x14ac:dyDescent="0.35">
      <c r="A17" s="297" t="s">
        <v>7</v>
      </c>
      <c r="B17" s="298"/>
      <c r="C17" s="32">
        <v>4</v>
      </c>
      <c r="E17" s="283"/>
      <c r="F17" s="283"/>
      <c r="G17" s="6"/>
      <c r="M17" s="283"/>
      <c r="N17" s="283"/>
    </row>
    <row r="18" spans="1:14" x14ac:dyDescent="0.3">
      <c r="L18">
        <f>1000/L19</f>
        <v>10.656436487638533</v>
      </c>
      <c r="M18" s="283"/>
      <c r="N18" s="283"/>
    </row>
    <row r="19" spans="1:14" x14ac:dyDescent="0.3">
      <c r="L19">
        <f>F25*G25</f>
        <v>93.84</v>
      </c>
      <c r="M19" s="267"/>
      <c r="N19" s="267"/>
    </row>
    <row r="20" spans="1:14" x14ac:dyDescent="0.3">
      <c r="L20">
        <f>L19/1000</f>
        <v>9.3840000000000007E-2</v>
      </c>
      <c r="M20" s="267"/>
      <c r="N20" s="267"/>
    </row>
    <row r="21" spans="1:14" x14ac:dyDescent="0.3">
      <c r="C21" s="284"/>
      <c r="D21" s="53"/>
      <c r="E21" s="284"/>
      <c r="F21" s="284"/>
      <c r="G21" s="284"/>
      <c r="H21" s="284"/>
    </row>
    <row r="22" spans="1:14" x14ac:dyDescent="0.3">
      <c r="C22" s="284"/>
      <c r="D22" s="53"/>
      <c r="E22" s="284"/>
      <c r="F22" s="284"/>
      <c r="G22" s="284"/>
      <c r="H22" s="284"/>
    </row>
    <row r="23" spans="1:14" ht="15" thickBot="1" x14ac:dyDescent="0.35">
      <c r="C23" s="285"/>
      <c r="D23" s="53"/>
      <c r="E23" s="285"/>
      <c r="F23" s="285"/>
      <c r="G23" s="285"/>
      <c r="H23" s="285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60</v>
      </c>
      <c r="E25" s="175">
        <f>VLOOKUP(B25,Material[],2,FALSE)</f>
        <v>0.92</v>
      </c>
      <c r="F25" s="175">
        <f>IF(A25="Substrate",D25*E25,C25*D25)</f>
        <v>55.2</v>
      </c>
      <c r="G25" s="176">
        <v>1.7</v>
      </c>
      <c r="H25" s="177">
        <v>0</v>
      </c>
      <c r="I25" s="178">
        <f>(IF(A25="Substrate",(F25*G25)/1000,(D25*G25)/1000))*(1+table1713[[#This Row],[Waste
%]])</f>
        <v>9.3840000000000007E-2</v>
      </c>
      <c r="J25" s="179">
        <f>IF(A25="Substrate",(($I$36*F25)/$B$37)*(1+H25),(($I$36*D25)/$B$37)*(1+H25))</f>
        <v>9651.1932861264104</v>
      </c>
      <c r="K25" s="180">
        <f>table1713[[#This Row],[Total GSM]]/$B$37</f>
        <v>0.96511932861264105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f>VLOOKUP(B26,Material[],2,FALSE)</f>
        <v>1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</v>
      </c>
      <c r="I26" s="178">
        <f>(IF(A26="Substrate",(F26*G26)/1000,(D26*G26)/1000))*(1+table1713[[#This Row],[Waste
%]])</f>
        <v>2.622E-2</v>
      </c>
      <c r="J26" s="179">
        <f>IF(A26="Substrate",(($I$36*F26)/$B$37)*(1+H26),(($I$36*D26)/$B$37)*(1+H26))</f>
        <v>996.59061106740103</v>
      </c>
      <c r="K26" s="180">
        <f>table1713[[#This Row],[Total GSM]]/$B$37</f>
        <v>3.4880671387359036E-2</v>
      </c>
      <c r="M26" s="101"/>
    </row>
    <row r="27" spans="1:14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</row>
    <row r="28" spans="1:14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4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9" t="s">
        <v>38</v>
      </c>
      <c r="B31" s="300"/>
      <c r="C31" s="300"/>
      <c r="D31" s="300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996.59061106740103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356" t="s">
        <v>40</v>
      </c>
      <c r="B35" s="36">
        <f>B37/B36</f>
        <v>0.92257440116138401</v>
      </c>
      <c r="C35" s="301" t="s">
        <v>66</v>
      </c>
      <c r="D35" s="301"/>
      <c r="E35" s="134">
        <f>IF(C5="Roll", (1000/(C13*C14*B37*0.001*0.001))*C16, IF(C5="Sleeve", (1000/(G14*G15*B37*0.001*0.001))*1, IF(C5="Bag or Pouch", (1000/(K14*K13*B37*0.001*0.001))*1, "")))</f>
        <v>699.36183232800067</v>
      </c>
      <c r="F35" s="301" t="s">
        <v>65</v>
      </c>
      <c r="G35" s="301"/>
      <c r="H35" s="301"/>
      <c r="I35">
        <f>IF(C5="Roll", ((C13*C17)+C15), IF(C5="Sleeve", ((G14*G17)+G16), IF(C5="Bag or Pouch", ((K14*K16)+K15), "")))</f>
        <v>1020</v>
      </c>
    </row>
    <row r="36" spans="1:13" x14ac:dyDescent="0.3">
      <c r="A36" s="356" t="s">
        <v>82</v>
      </c>
      <c r="B36" s="37">
        <f>SUMIFS(table1713[Micron],table1713[Type],"substrate")+SUMIFS(table1713[Total GSM],table1713[Type],"Ink")+SUMIFS(table1713[Total GSM],table1713[Type],"Adhesive")</f>
        <v>61.994999999999997</v>
      </c>
      <c r="C36" s="301" t="s">
        <v>59</v>
      </c>
      <c r="D36" s="301"/>
      <c r="E36" s="15">
        <f>1000/E35</f>
        <v>1.429875</v>
      </c>
      <c r="F36" s="301" t="s">
        <v>88</v>
      </c>
      <c r="G36" s="301"/>
      <c r="H36" s="301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356" t="s">
        <v>15</v>
      </c>
      <c r="B37" s="37">
        <f>SUM(F25:F30)</f>
        <v>57.195</v>
      </c>
      <c r="C37" s="322" t="s">
        <v>60</v>
      </c>
      <c r="D37" s="322"/>
      <c r="E37" s="15">
        <f>1000/B37</f>
        <v>17.484045808200019</v>
      </c>
      <c r="F37" s="301" t="s">
        <v>89</v>
      </c>
      <c r="G37" s="301"/>
      <c r="H37" s="301"/>
      <c r="I37" s="38">
        <f>(I36*1000)/E36/1000</f>
        <v>6993.6183232800067</v>
      </c>
    </row>
    <row r="38" spans="1:13" x14ac:dyDescent="0.3">
      <c r="A38" s="356" t="s">
        <v>83</v>
      </c>
      <c r="B38" s="16">
        <f>SUM(I25:I30)+I31</f>
        <v>0.1230525</v>
      </c>
      <c r="C38" s="301" t="s">
        <v>86</v>
      </c>
      <c r="D38" s="301"/>
      <c r="E38" s="15">
        <f>(E37/I35)*1000</f>
        <v>17.141221380588252</v>
      </c>
      <c r="F38" s="301" t="s">
        <v>135</v>
      </c>
      <c r="G38" s="301"/>
      <c r="H38" s="301"/>
      <c r="I38" s="38">
        <f>I36*E38</f>
        <v>171412.21380588252</v>
      </c>
    </row>
    <row r="39" spans="1:13" x14ac:dyDescent="0.3">
      <c r="C39" s="301" t="s">
        <v>151</v>
      </c>
      <c r="D39" s="301"/>
      <c r="E39" s="15">
        <f>IF(C5="Roll", ((E37/C13)*1000), IF(C5="Sleeve", ((E37/G14)*1000), IF(C5="Bag or Pouch", ((E37/K13)*1000), "")))</f>
        <v>69.936183232800076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8" t="s">
        <v>92</v>
      </c>
      <c r="B44" s="319"/>
      <c r="C44" s="32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21" t="s">
        <v>62</v>
      </c>
      <c r="B46" s="321"/>
      <c r="C46" s="321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21" t="s">
        <v>63</v>
      </c>
      <c r="B47" s="321"/>
      <c r="C47" s="321"/>
      <c r="D47" s="127">
        <f>IF(C5="Roll",(((D46/2)^2-(D44/2)^2)*PI()*C13*B35/1000000),IF(C5="Sleeve",(((D46/2)^2-(D44/2)^2)*PI()*G14*B35/1000000),IF(C5="Bag or Pouch",(((D46/2)^2-(D44/2)^2)*PI()*K13*B35/1000000))))</f>
        <v>59.60173029162047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21" t="s">
        <v>48</v>
      </c>
      <c r="B48" s="321"/>
      <c r="C48" s="321"/>
      <c r="D48" s="128">
        <f>IF(C5="Roll",((D47*1000/B35)/((B36/10000)*(C13/10))/100),IF(C5="Sleeve",((D47*1000/B35)/((B36/10000)*(G14/10))/100),IF(C5="Bag or Pouch",((D47*1000/B35)/((B36/10000)*(K13/10))/100))))</f>
        <v>4168.3175306666999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21" t="s">
        <v>85</v>
      </c>
      <c r="B49" s="321"/>
      <c r="C49" s="321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21" t="s">
        <v>64</v>
      </c>
      <c r="B50" s="321"/>
      <c r="C50" s="321"/>
      <c r="D50" s="98">
        <f>(D47*E35)</f>
        <v>41683.175306666992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21" t="s">
        <v>93</v>
      </c>
      <c r="B52" s="321"/>
      <c r="C52" s="321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21" t="s">
        <v>49</v>
      </c>
      <c r="B53" s="321"/>
      <c r="C53" s="321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662.93579768320956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14.787418980180586</v>
      </c>
      <c r="F60" s="204">
        <v>300</v>
      </c>
      <c r="G60" s="207">
        <f>IFERROR(F60*E60,"")</f>
        <v>4436.2256940541756</v>
      </c>
      <c r="H60" s="315">
        <f>SUMIF($A$60:$A$69,"true",$G$60:$G$69)</f>
        <v>13971.149361338501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0">IF(A61=TRUE, D61+(OQM/C61/60),"")</f>
        <v>14.427480920392167</v>
      </c>
      <c r="F61" s="205">
        <v>300</v>
      </c>
      <c r="G61" s="208">
        <f t="shared" ref="G61:G69" si="1">IFERROR(F61*E61,"")</f>
        <v>4328.2442761176499</v>
      </c>
      <c r="H61" s="316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0"/>
        <v>6.2137404601960835</v>
      </c>
      <c r="F62" s="205">
        <v>50</v>
      </c>
      <c r="G62" s="208">
        <f t="shared" si="1"/>
        <v>310.68702300980419</v>
      </c>
      <c r="H62" s="316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0"/>
        <v>15.28435115049021</v>
      </c>
      <c r="F63" s="205">
        <v>100</v>
      </c>
      <c r="G63" s="208">
        <f t="shared" si="1"/>
        <v>1528.4351150490211</v>
      </c>
      <c r="H63" s="316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0"/>
        <v>15.28435115049021</v>
      </c>
      <c r="F64" s="205">
        <v>100</v>
      </c>
      <c r="G64" s="208">
        <f t="shared" si="1"/>
        <v>1528.4351150490211</v>
      </c>
      <c r="H64" s="316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0"/>
        <v>15.28435115049021</v>
      </c>
      <c r="F65" s="205">
        <v>100</v>
      </c>
      <c r="G65" s="208">
        <f t="shared" si="1"/>
        <v>1528.4351150490211</v>
      </c>
      <c r="H65" s="316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0"/>
        <v>6.2137404601960835</v>
      </c>
      <c r="F66" s="205">
        <v>50</v>
      </c>
      <c r="G66" s="208">
        <f t="shared" si="1"/>
        <v>310.68702300980419</v>
      </c>
      <c r="H66" s="316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316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316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317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1.3971149361338502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305"/>
      <c r="C73" s="306" t="s">
        <v>41</v>
      </c>
      <c r="D73" s="80" t="s">
        <v>91</v>
      </c>
      <c r="E73" s="308" t="s">
        <v>42</v>
      </c>
      <c r="F73" s="310" t="s">
        <v>43</v>
      </c>
      <c r="G73" s="310" t="s">
        <v>107</v>
      </c>
      <c r="H73" s="312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305"/>
      <c r="C74" s="307"/>
      <c r="D74" s="181">
        <v>0.3</v>
      </c>
      <c r="E74" s="309"/>
      <c r="F74" s="311"/>
      <c r="G74" s="311"/>
      <c r="H74" s="313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2.1514555468135326</v>
      </c>
      <c r="D75" s="183">
        <f>C75*D74</f>
        <v>0.64543666404405975</v>
      </c>
      <c r="E75" s="184">
        <v>0.1</v>
      </c>
      <c r="F75" s="184">
        <v>0.2</v>
      </c>
      <c r="G75" s="185">
        <f>H70</f>
        <v>1.3971149361338502</v>
      </c>
      <c r="H75" s="186">
        <f>SUM(C75:G75)</f>
        <v>4.4940071469914429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3.0763125000000002</v>
      </c>
      <c r="D76" s="91">
        <f>(D75/$E$35)*1000</f>
        <v>0.92289374999999996</v>
      </c>
      <c r="E76" s="91">
        <f>(E75/$E$35)*1000</f>
        <v>0.14298750000000002</v>
      </c>
      <c r="F76" s="91">
        <f>(F75/$E$35)*1000</f>
        <v>0.28597500000000003</v>
      </c>
      <c r="G76" s="91">
        <f>(G75/$E$35)*1000</f>
        <v>1.9976997193043891</v>
      </c>
      <c r="H76" s="188">
        <f>SUM(C76:G76)</f>
        <v>6.4258684693043895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0.12305249999999998</v>
      </c>
      <c r="D77" s="92">
        <f t="shared" ref="D77:G77" si="2">(D75/$E$37)</f>
        <v>3.6915749999999997E-2</v>
      </c>
      <c r="E77" s="92">
        <f t="shared" si="2"/>
        <v>5.7194999999999998E-3</v>
      </c>
      <c r="F77" s="92">
        <f t="shared" si="2"/>
        <v>1.1439E-2</v>
      </c>
      <c r="G77" s="92">
        <f t="shared" si="2"/>
        <v>7.9907988772175559E-2</v>
      </c>
      <c r="H77" s="189">
        <f>SUM(C77:G77)</f>
        <v>0.25703473877217553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3.0763124999999995E-2</v>
      </c>
      <c r="D78" s="92">
        <f>(D75/$E$39)</f>
        <v>9.2289374999999993E-3</v>
      </c>
      <c r="E78" s="92">
        <f>(E75/$E$39)</f>
        <v>1.4298749999999999E-3</v>
      </c>
      <c r="F78" s="92">
        <f>(F75/$E$39)</f>
        <v>2.8597499999999999E-3</v>
      </c>
      <c r="G78" s="92">
        <f>(G75/$E$39)</f>
        <v>1.997699719304389E-2</v>
      </c>
      <c r="H78" s="189">
        <f>SUM(C78:G78)</f>
        <v>6.4258684693043883E-2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15.381562499999998</v>
      </c>
      <c r="D79" s="191">
        <f>D78*500</f>
        <v>4.6144687499999995</v>
      </c>
      <c r="E79" s="191">
        <f t="shared" ref="E79:G79" si="3">E78*500</f>
        <v>0.7149375</v>
      </c>
      <c r="F79" s="191">
        <f t="shared" si="3"/>
        <v>1.429875</v>
      </c>
      <c r="G79" s="191">
        <f t="shared" si="3"/>
        <v>9.9884985965219446</v>
      </c>
      <c r="H79" s="192">
        <f>SUM(C79:G79)</f>
        <v>32.129342346521945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304"/>
      <c r="I82" s="304"/>
      <c r="J82" s="304"/>
      <c r="K82" s="41"/>
      <c r="L82" s="41"/>
      <c r="M82" s="41"/>
      <c r="N82" s="41"/>
    </row>
    <row r="83" spans="1:25" ht="18" x14ac:dyDescent="0.35">
      <c r="A83" s="54"/>
      <c r="B83" s="303" t="s">
        <v>136</v>
      </c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314"/>
      <c r="I88" s="314"/>
      <c r="J88" s="213"/>
      <c r="K88" s="314"/>
      <c r="L88" s="314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273" t="s">
        <v>159</v>
      </c>
      <c r="R92" s="273"/>
      <c r="S92" s="112">
        <f>H75</f>
        <v>4.4940071469914429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277" t="s">
        <v>148</v>
      </c>
      <c r="U94" s="278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3.5485704829473828</v>
      </c>
      <c r="S95" s="211">
        <f>R95/S92</f>
        <v>0.7896227947307578</v>
      </c>
      <c r="T95" s="274">
        <f>R96-R95</f>
        <v>-2.0028561972330969</v>
      </c>
      <c r="U95" s="276">
        <f>(R96-R95)/R95</f>
        <v>-0.56441212224973436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0.34395011738000447</v>
      </c>
      <c r="T96" s="275"/>
      <c r="U96" s="276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0.94543666404406013</v>
      </c>
      <c r="S97" s="218">
        <f>R97/S92</f>
        <v>0.21037720526924217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2.9482928612771571</v>
      </c>
      <c r="S98" s="211">
        <f>R98/S92</f>
        <v>0.65604988261999553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3">
      <c r="B105" s="41"/>
      <c r="E105" s="141">
        <f>SUM(E91:E104)</f>
        <v>6580</v>
      </c>
    </row>
    <row r="106" spans="1:19" x14ac:dyDescent="0.3">
      <c r="B106" s="41"/>
      <c r="D106" s="87" t="s">
        <v>141</v>
      </c>
      <c r="E106" s="140">
        <f>E105/C85</f>
        <v>0.62666666666666671</v>
      </c>
    </row>
    <row r="107" spans="1:19" x14ac:dyDescent="0.3">
      <c r="B107" s="41"/>
      <c r="D107" s="87" t="s">
        <v>142</v>
      </c>
      <c r="E107" s="159">
        <f>(E106-C75)/C75</f>
        <v>-0.70872432498323878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302" t="s">
        <v>145</v>
      </c>
      <c r="C122" s="302"/>
      <c r="D122" s="302"/>
      <c r="E122" s="140">
        <f>E121/C85</f>
        <v>0.919047619047619</v>
      </c>
    </row>
    <row r="123" spans="2:6" x14ac:dyDescent="0.3">
      <c r="B123" s="302" t="s">
        <v>142</v>
      </c>
      <c r="C123" s="302"/>
      <c r="D123" s="302"/>
      <c r="E123" s="159">
        <f>(E122-H70)/H70</f>
        <v>-0.34218180961486055</v>
      </c>
    </row>
  </sheetData>
  <mergeCells count="73"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M14:N14"/>
    <mergeCell ref="A15:B15"/>
    <mergeCell ref="E15:F15"/>
    <mergeCell ref="M15:N15"/>
    <mergeCell ref="A16:B16"/>
    <mergeCell ref="I16:J16"/>
    <mergeCell ref="M16:N16"/>
    <mergeCell ref="A13:B13"/>
    <mergeCell ref="E13:F13"/>
    <mergeCell ref="I13:J13"/>
    <mergeCell ref="A14:B14"/>
    <mergeCell ref="E14:F14"/>
    <mergeCell ref="I14:J14"/>
    <mergeCell ref="A9:C9"/>
    <mergeCell ref="A10:C10"/>
    <mergeCell ref="O10:P10"/>
    <mergeCell ref="A12:C12"/>
    <mergeCell ref="I12:K12"/>
    <mergeCell ref="M12:N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16" zoomScaleNormal="100" workbookViewId="0">
      <selection activeCell="I31" sqref="I3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89" t="s">
        <v>153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79" t="s">
        <v>50</v>
      </c>
      <c r="B3" s="279"/>
      <c r="C3" s="290" t="s">
        <v>130</v>
      </c>
      <c r="D3" s="290"/>
      <c r="E3" s="290"/>
      <c r="F3" s="9"/>
      <c r="G3" s="279" t="s">
        <v>56</v>
      </c>
      <c r="H3" s="279"/>
      <c r="I3" s="290" t="s">
        <v>129</v>
      </c>
      <c r="J3" s="290"/>
      <c r="K3" s="290"/>
      <c r="L3" s="290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79" t="s">
        <v>51</v>
      </c>
      <c r="B5" s="279"/>
      <c r="C5" s="280" t="s">
        <v>0</v>
      </c>
      <c r="D5" s="280"/>
      <c r="E5" s="280"/>
      <c r="F5" s="9"/>
      <c r="G5" s="279" t="s">
        <v>53</v>
      </c>
      <c r="H5" s="279"/>
      <c r="I5" s="281">
        <v>10000</v>
      </c>
      <c r="J5" s="281"/>
      <c r="K5" s="280" t="s">
        <v>2</v>
      </c>
      <c r="L5" s="280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82" t="s">
        <v>54</v>
      </c>
      <c r="B9" s="282"/>
      <c r="C9" s="282"/>
      <c r="O9" s="20"/>
      <c r="P9" s="20"/>
    </row>
    <row r="10" spans="1:18" ht="15.6" x14ac:dyDescent="0.3">
      <c r="A10" s="282" t="s">
        <v>55</v>
      </c>
      <c r="B10" s="282"/>
      <c r="C10" s="282"/>
      <c r="N10" s="20"/>
      <c r="O10" s="288"/>
      <c r="P10" s="288"/>
      <c r="Q10" s="44"/>
    </row>
    <row r="11" spans="1:18" ht="15" thickBot="1" x14ac:dyDescent="0.35"/>
    <row r="12" spans="1:18" ht="15" thickBot="1" x14ac:dyDescent="0.35">
      <c r="A12" s="291" t="s">
        <v>67</v>
      </c>
      <c r="B12" s="292"/>
      <c r="C12" s="293"/>
      <c r="E12" s="2"/>
      <c r="F12" s="2"/>
      <c r="G12" s="2"/>
      <c r="I12" s="294"/>
      <c r="J12" s="294"/>
      <c r="K12" s="294"/>
      <c r="M12" s="294"/>
      <c r="N12" s="294"/>
    </row>
    <row r="13" spans="1:18" x14ac:dyDescent="0.3">
      <c r="A13" s="286" t="s">
        <v>8</v>
      </c>
      <c r="B13" s="287"/>
      <c r="C13" s="135">
        <v>250</v>
      </c>
      <c r="E13" s="283"/>
      <c r="F13" s="283"/>
      <c r="G13" s="21"/>
      <c r="I13" s="283"/>
      <c r="J13" s="283"/>
      <c r="K13" s="21"/>
    </row>
    <row r="14" spans="1:18" x14ac:dyDescent="0.3">
      <c r="A14" s="295" t="s">
        <v>9</v>
      </c>
      <c r="B14" s="296"/>
      <c r="C14" s="30">
        <v>100</v>
      </c>
      <c r="E14" s="283"/>
      <c r="F14" s="283"/>
      <c r="G14" s="21"/>
      <c r="I14" s="283"/>
      <c r="J14" s="283"/>
      <c r="K14" s="21"/>
      <c r="M14" s="283"/>
      <c r="N14" s="283"/>
      <c r="O14" s="21"/>
      <c r="Q14" s="21"/>
    </row>
    <row r="15" spans="1:18" x14ac:dyDescent="0.3">
      <c r="A15" s="295" t="s">
        <v>6</v>
      </c>
      <c r="B15" s="296"/>
      <c r="C15" s="31">
        <v>20</v>
      </c>
      <c r="E15" s="283"/>
      <c r="F15" s="283"/>
      <c r="G15" s="21"/>
      <c r="I15" s="4"/>
      <c r="J15" s="4"/>
      <c r="K15" s="131"/>
      <c r="M15" s="283"/>
      <c r="N15" s="283"/>
      <c r="O15" s="21"/>
      <c r="Q15" s="21"/>
    </row>
    <row r="16" spans="1:18" x14ac:dyDescent="0.3">
      <c r="A16" s="295" t="s">
        <v>10</v>
      </c>
      <c r="B16" s="296"/>
      <c r="C16" s="136">
        <v>1</v>
      </c>
      <c r="E16" s="4"/>
      <c r="F16" s="4"/>
      <c r="G16" s="131"/>
      <c r="I16" s="283"/>
      <c r="J16" s="283"/>
      <c r="K16" s="6"/>
      <c r="M16" s="283"/>
      <c r="N16" s="283"/>
    </row>
    <row r="17" spans="1:14" ht="15" thickBot="1" x14ac:dyDescent="0.35">
      <c r="A17" s="297" t="s">
        <v>7</v>
      </c>
      <c r="B17" s="298"/>
      <c r="C17" s="32">
        <v>4</v>
      </c>
      <c r="E17" s="283"/>
      <c r="F17" s="283"/>
      <c r="G17" s="6"/>
      <c r="M17" s="283"/>
      <c r="N17" s="283"/>
    </row>
    <row r="18" spans="1:14" x14ac:dyDescent="0.3">
      <c r="M18" s="283"/>
      <c r="N18" s="283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284"/>
      <c r="D21" s="53"/>
      <c r="E21" s="284"/>
      <c r="F21" s="284"/>
      <c r="G21" s="284"/>
      <c r="H21" s="284"/>
    </row>
    <row r="22" spans="1:14" x14ac:dyDescent="0.3">
      <c r="C22" s="284"/>
      <c r="D22" s="53"/>
      <c r="E22" s="284"/>
      <c r="F22" s="284"/>
      <c r="G22" s="284"/>
      <c r="H22" s="284"/>
    </row>
    <row r="23" spans="1:14" ht="15" thickBot="1" x14ac:dyDescent="0.35">
      <c r="C23" s="285"/>
      <c r="D23" s="53"/>
      <c r="E23" s="285"/>
      <c r="F23" s="285"/>
      <c r="G23" s="285"/>
      <c r="H23" s="285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9" t="s">
        <v>38</v>
      </c>
      <c r="B31" s="300"/>
      <c r="C31" s="300"/>
      <c r="D31" s="300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0.9813242784380305</v>
      </c>
      <c r="C35" s="301" t="s">
        <v>66</v>
      </c>
      <c r="D35" s="301"/>
      <c r="E35" s="134">
        <f>IF(C5="Roll", (1000/(C13*C14*B37*0.001*0.001))*C16, IF(C5="Sleeve", (1000/(G14*G15*B37*0.001*0.001))*1, IF(C5="Bag or Pouch", (1000/(K14*K13*B37*0.001*0.001))*1, "")))</f>
        <v>346.02076124567475</v>
      </c>
      <c r="F35" s="301" t="s">
        <v>65</v>
      </c>
      <c r="G35" s="301"/>
      <c r="H35" s="301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301" t="s">
        <v>59</v>
      </c>
      <c r="D36" s="301"/>
      <c r="E36" s="15">
        <f>1000/E35</f>
        <v>2.89</v>
      </c>
      <c r="F36" s="301" t="s">
        <v>88</v>
      </c>
      <c r="G36" s="301"/>
      <c r="H36" s="301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115.6</v>
      </c>
      <c r="C37" s="301" t="s">
        <v>60</v>
      </c>
      <c r="D37" s="301"/>
      <c r="E37" s="15">
        <f>1000/B37</f>
        <v>8.6505190311418687</v>
      </c>
      <c r="F37" s="301" t="s">
        <v>89</v>
      </c>
      <c r="G37" s="301"/>
      <c r="H37" s="301"/>
      <c r="I37" s="38">
        <f>(I36*1000)/E36/1000</f>
        <v>3460.2076124567475</v>
      </c>
    </row>
    <row r="38" spans="1:13" x14ac:dyDescent="0.3">
      <c r="A38" s="2" t="s">
        <v>83</v>
      </c>
      <c r="B38" s="16">
        <f>SUM(I25:I30)+I31</f>
        <v>0.22398500000000002</v>
      </c>
      <c r="C38" s="301" t="s">
        <v>86</v>
      </c>
      <c r="D38" s="301"/>
      <c r="E38" s="15">
        <f>(E37/I35)*1000</f>
        <v>8.4809010109234002</v>
      </c>
      <c r="F38" s="301" t="s">
        <v>135</v>
      </c>
      <c r="G38" s="301"/>
      <c r="H38" s="301"/>
      <c r="I38" s="38">
        <f>I36*E38</f>
        <v>84809.010109234005</v>
      </c>
    </row>
    <row r="39" spans="1:13" x14ac:dyDescent="0.3">
      <c r="C39" s="301" t="s">
        <v>151</v>
      </c>
      <c r="D39" s="301"/>
      <c r="E39" s="15">
        <f>IF(C5="Roll", ((E37/C13)*1000), IF(C5="Sleeve", ((E37/G14)*1000), IF(C5="Bag or Pouch", ((E37/K13)*1000), "")))</f>
        <v>34.602076124567475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8" t="s">
        <v>92</v>
      </c>
      <c r="B44" s="319"/>
      <c r="C44" s="32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21" t="s">
        <v>62</v>
      </c>
      <c r="B46" s="321"/>
      <c r="C46" s="321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21" t="s">
        <v>63</v>
      </c>
      <c r="B47" s="321"/>
      <c r="C47" s="321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21" t="s">
        <v>48</v>
      </c>
      <c r="B48" s="321"/>
      <c r="C48" s="321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21" t="s">
        <v>85</v>
      </c>
      <c r="B49" s="321"/>
      <c r="C49" s="321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21" t="s">
        <v>64</v>
      </c>
      <c r="B50" s="321"/>
      <c r="C50" s="321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21" t="s">
        <v>93</v>
      </c>
      <c r="B52" s="321"/>
      <c r="C52" s="321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21" t="s">
        <v>49</v>
      </c>
      <c r="B53" s="321"/>
      <c r="C53" s="321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315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316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316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316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316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316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316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316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316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317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305"/>
      <c r="C73" s="306" t="s">
        <v>41</v>
      </c>
      <c r="D73" s="80" t="s">
        <v>91</v>
      </c>
      <c r="E73" s="308" t="s">
        <v>42</v>
      </c>
      <c r="F73" s="310" t="s">
        <v>43</v>
      </c>
      <c r="G73" s="310" t="s">
        <v>107</v>
      </c>
      <c r="H73" s="312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305"/>
      <c r="C74" s="307"/>
      <c r="D74" s="181">
        <v>0.3</v>
      </c>
      <c r="E74" s="309"/>
      <c r="F74" s="311"/>
      <c r="G74" s="311"/>
      <c r="H74" s="313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304"/>
      <c r="I82" s="304"/>
      <c r="J82" s="304"/>
      <c r="K82" s="41"/>
      <c r="L82" s="41"/>
      <c r="M82" s="41"/>
      <c r="N82" s="41"/>
    </row>
    <row r="83" spans="1:25" ht="18" x14ac:dyDescent="0.35">
      <c r="A83" s="54"/>
      <c r="B83" s="303" t="s">
        <v>136</v>
      </c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314"/>
      <c r="I88" s="314"/>
      <c r="J88" s="213"/>
      <c r="K88" s="314"/>
      <c r="L88" s="314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273" t="s">
        <v>159</v>
      </c>
      <c r="R92" s="273"/>
      <c r="S92" s="112">
        <f>H75</f>
        <v>3.7630361423692897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277" t="s">
        <v>148</v>
      </c>
      <c r="U94" s="278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274">
        <f>R96-R95</f>
        <v>-6.8260190812196253E-2</v>
      </c>
      <c r="U95" s="276">
        <f>(R96-R95)/R95</f>
        <v>-2.368697819819552E-2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275"/>
      <c r="U96" s="276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3">
      <c r="B105" s="41"/>
      <c r="E105" s="141">
        <f>SUM(E91:E104)</f>
        <v>19891.75</v>
      </c>
    </row>
    <row r="106" spans="1:19" x14ac:dyDescent="0.3">
      <c r="B106" s="41"/>
      <c r="D106" s="87" t="s">
        <v>141</v>
      </c>
      <c r="E106" s="140">
        <f>E105/C85</f>
        <v>1.894452380952381</v>
      </c>
    </row>
    <row r="107" spans="1:19" x14ac:dyDescent="0.3">
      <c r="B107" s="41"/>
      <c r="D107" s="87" t="s">
        <v>142</v>
      </c>
      <c r="E107" s="159">
        <f>(E106-C75)/C75</f>
        <v>-2.2261779859833377E-2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302" t="s">
        <v>145</v>
      </c>
      <c r="C122" s="302"/>
      <c r="D122" s="302"/>
      <c r="E122" s="140">
        <f>E121/C85</f>
        <v>0.919047619047619</v>
      </c>
    </row>
    <row r="123" spans="2:6" x14ac:dyDescent="0.3">
      <c r="B123" s="302" t="s">
        <v>142</v>
      </c>
      <c r="C123" s="302"/>
      <c r="D123" s="302"/>
      <c r="E123" s="159">
        <f>(E122-H70)/H70</f>
        <v>-2.6611699687135438E-2</v>
      </c>
    </row>
  </sheetData>
  <mergeCells count="73"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C36:D36"/>
    <mergeCell ref="F38:H38"/>
    <mergeCell ref="C37:D37"/>
    <mergeCell ref="F37:H37"/>
    <mergeCell ref="F36:H36"/>
    <mergeCell ref="C38:D38"/>
    <mergeCell ref="C21:C23"/>
    <mergeCell ref="A31:D31"/>
    <mergeCell ref="C35:D35"/>
    <mergeCell ref="E21:E23"/>
    <mergeCell ref="F21:F23"/>
    <mergeCell ref="F35:H35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2:C12"/>
    <mergeCell ref="I12:K12"/>
    <mergeCell ref="M12:N12"/>
    <mergeCell ref="E13:F13"/>
    <mergeCell ref="I13:J13"/>
    <mergeCell ref="A1:L1"/>
    <mergeCell ref="A3:B3"/>
    <mergeCell ref="C3:E3"/>
    <mergeCell ref="G3:H3"/>
    <mergeCell ref="I3:L3"/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F20" sqref="F20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23" t="s">
        <v>174</v>
      </c>
      <c r="X1" s="323"/>
      <c r="Y1" s="323"/>
      <c r="Z1" s="323"/>
      <c r="AA1" s="323"/>
      <c r="AB1" s="323"/>
      <c r="AC1" s="323"/>
      <c r="AD1" s="323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0.35</v>
      </c>
      <c r="G19" s="103">
        <v>4.5999999999999996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89" t="s">
        <v>153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79" t="s">
        <v>50</v>
      </c>
      <c r="B3" s="279"/>
      <c r="C3" s="290" t="s">
        <v>131</v>
      </c>
      <c r="D3" s="290"/>
      <c r="E3" s="290"/>
      <c r="F3" s="9"/>
      <c r="G3" s="279" t="s">
        <v>56</v>
      </c>
      <c r="H3" s="279"/>
      <c r="I3" s="290" t="s">
        <v>132</v>
      </c>
      <c r="J3" s="290"/>
      <c r="K3" s="290"/>
      <c r="L3" s="290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79" t="s">
        <v>51</v>
      </c>
      <c r="B5" s="279"/>
      <c r="C5" s="280" t="s">
        <v>1</v>
      </c>
      <c r="D5" s="280"/>
      <c r="E5" s="280"/>
      <c r="F5" s="9"/>
      <c r="G5" s="279" t="s">
        <v>53</v>
      </c>
      <c r="H5" s="279"/>
      <c r="I5" s="281">
        <v>20000</v>
      </c>
      <c r="J5" s="281"/>
      <c r="K5" s="280" t="s">
        <v>2</v>
      </c>
      <c r="L5" s="280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82" t="s">
        <v>54</v>
      </c>
      <c r="B9" s="282"/>
      <c r="C9" s="282"/>
      <c r="O9" s="20"/>
      <c r="P9" s="20"/>
      <c r="Q9" s="20"/>
    </row>
    <row r="10" spans="1:19" ht="15.6" x14ac:dyDescent="0.3">
      <c r="A10" s="282" t="s">
        <v>55</v>
      </c>
      <c r="B10" s="282"/>
      <c r="C10" s="282"/>
      <c r="N10" s="288"/>
      <c r="O10" s="288"/>
      <c r="P10" s="288"/>
      <c r="Q10" s="288"/>
      <c r="R10" s="44"/>
    </row>
    <row r="11" spans="1:19" ht="15" thickBot="1" x14ac:dyDescent="0.35"/>
    <row r="12" spans="1:19" ht="15" thickBot="1" x14ac:dyDescent="0.35">
      <c r="A12" s="294"/>
      <c r="B12" s="294"/>
      <c r="C12" s="294"/>
      <c r="E12" s="337" t="s">
        <v>68</v>
      </c>
      <c r="F12" s="338"/>
      <c r="G12" s="339"/>
      <c r="I12" s="294"/>
      <c r="J12" s="294"/>
      <c r="K12" s="294"/>
      <c r="M12" s="294"/>
      <c r="N12" s="294"/>
      <c r="O12" s="294"/>
    </row>
    <row r="13" spans="1:19" x14ac:dyDescent="0.3">
      <c r="A13" s="283"/>
      <c r="B13" s="283"/>
      <c r="C13" s="21"/>
      <c r="E13" s="340" t="s">
        <v>69</v>
      </c>
      <c r="F13" s="341"/>
      <c r="G13" s="29">
        <v>102</v>
      </c>
      <c r="I13" s="283"/>
      <c r="J13" s="283"/>
      <c r="K13" s="21"/>
      <c r="M13" s="283"/>
      <c r="N13" s="283"/>
      <c r="O13" s="129"/>
    </row>
    <row r="14" spans="1:19" x14ac:dyDescent="0.3">
      <c r="A14" s="283"/>
      <c r="B14" s="283"/>
      <c r="C14" s="21"/>
      <c r="E14" s="295" t="s">
        <v>8</v>
      </c>
      <c r="F14" s="296"/>
      <c r="G14" s="30">
        <v>33</v>
      </c>
      <c r="I14" s="283"/>
      <c r="J14" s="283"/>
      <c r="K14" s="21"/>
      <c r="M14" s="283"/>
      <c r="N14" s="283"/>
      <c r="O14" s="130"/>
      <c r="P14" s="21"/>
      <c r="R14" s="21"/>
    </row>
    <row r="15" spans="1:19" x14ac:dyDescent="0.3">
      <c r="A15" s="283"/>
      <c r="B15" s="283"/>
      <c r="C15" s="131"/>
      <c r="E15" s="335" t="s">
        <v>9</v>
      </c>
      <c r="F15" s="336"/>
      <c r="G15" s="30">
        <v>161</v>
      </c>
      <c r="I15" s="4"/>
      <c r="J15" s="4"/>
      <c r="K15" s="131"/>
      <c r="M15" s="283"/>
      <c r="N15" s="283"/>
      <c r="O15" s="130"/>
      <c r="P15" s="21"/>
      <c r="R15" s="21"/>
    </row>
    <row r="16" spans="1:19" x14ac:dyDescent="0.3">
      <c r="A16" s="283"/>
      <c r="B16" s="283"/>
      <c r="C16" s="6"/>
      <c r="E16" s="23" t="s">
        <v>6</v>
      </c>
      <c r="F16" s="22"/>
      <c r="G16" s="31">
        <v>20</v>
      </c>
      <c r="I16" s="283"/>
      <c r="J16" s="283"/>
      <c r="K16" s="6"/>
      <c r="M16" s="283"/>
      <c r="N16" s="283"/>
      <c r="O16" s="129"/>
    </row>
    <row r="17" spans="1:15" ht="15" thickBot="1" x14ac:dyDescent="0.35">
      <c r="A17" s="283"/>
      <c r="B17" s="283"/>
      <c r="C17" s="6"/>
      <c r="E17" s="297" t="s">
        <v>7</v>
      </c>
      <c r="F17" s="298"/>
      <c r="G17" s="32">
        <v>30</v>
      </c>
      <c r="M17" s="283"/>
      <c r="N17" s="283"/>
      <c r="O17" s="130"/>
    </row>
    <row r="18" spans="1:15" x14ac:dyDescent="0.3">
      <c r="M18" s="283"/>
      <c r="N18" s="283"/>
      <c r="O18" s="101"/>
    </row>
    <row r="19" spans="1:15" x14ac:dyDescent="0.3">
      <c r="M19" s="342"/>
      <c r="N19" s="342"/>
      <c r="O19" s="132"/>
    </row>
    <row r="20" spans="1:15" x14ac:dyDescent="0.3">
      <c r="M20" s="342"/>
      <c r="N20" s="342"/>
      <c r="O20" s="133"/>
    </row>
    <row r="21" spans="1:15" x14ac:dyDescent="0.3">
      <c r="C21" s="284" t="s">
        <v>81</v>
      </c>
      <c r="D21" s="53"/>
      <c r="E21" s="284" t="s">
        <v>81</v>
      </c>
      <c r="F21" s="284"/>
      <c r="G21" s="284" t="s">
        <v>81</v>
      </c>
      <c r="H21" s="284" t="s">
        <v>81</v>
      </c>
    </row>
    <row r="22" spans="1:15" x14ac:dyDescent="0.3">
      <c r="C22" s="284"/>
      <c r="D22" s="53"/>
      <c r="E22" s="284"/>
      <c r="F22" s="284"/>
      <c r="G22" s="284"/>
      <c r="H22" s="284"/>
    </row>
    <row r="23" spans="1:15" ht="15" thickBot="1" x14ac:dyDescent="0.35">
      <c r="C23" s="285"/>
      <c r="D23" s="53"/>
      <c r="E23" s="285"/>
      <c r="F23" s="285"/>
      <c r="G23" s="285"/>
      <c r="H23" s="285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299" t="s">
        <v>38</v>
      </c>
      <c r="B31" s="300"/>
      <c r="C31" s="300"/>
      <c r="D31" s="300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0.91666666666666674</v>
      </c>
      <c r="C35" s="301" t="s">
        <v>66</v>
      </c>
      <c r="D35" s="301"/>
      <c r="E35" s="35">
        <f>IF(C5="Roll", (1000/(C13*C14*B37*0.001*0.001))*C16, IF(C5="Sleeve", (1000/(G14*G15*B37*0.001*0.001))*1, IF(C5="Bag or Pouch", (1000/(K14*K13*B37*0.001*0.001))*1, "")))</f>
        <v>5431.9647769676003</v>
      </c>
      <c r="F35" s="301" t="s">
        <v>65</v>
      </c>
      <c r="G35" s="301"/>
      <c r="H35" s="301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301" t="s">
        <v>59</v>
      </c>
      <c r="D36" s="301"/>
      <c r="E36" s="15">
        <f>1000/E35</f>
        <v>0.18409544999999999</v>
      </c>
      <c r="F36" s="301" t="s">
        <v>88</v>
      </c>
      <c r="G36" s="301"/>
      <c r="H36" s="301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34.65</v>
      </c>
      <c r="C37" s="301" t="s">
        <v>60</v>
      </c>
      <c r="D37" s="301"/>
      <c r="E37" s="15">
        <f>1000/B37</f>
        <v>28.860028860028862</v>
      </c>
      <c r="F37" s="301" t="s">
        <v>89</v>
      </c>
      <c r="G37" s="301"/>
      <c r="H37" s="301"/>
      <c r="I37" s="38">
        <f>(I36*1000)/E36/1000</f>
        <v>108639.29553935201</v>
      </c>
    </row>
    <row r="38" spans="1:13" x14ac:dyDescent="0.3">
      <c r="A38" s="2" t="s">
        <v>83</v>
      </c>
      <c r="B38" s="16">
        <f>SUM(I25:I30)+I31</f>
        <v>0.10634300000000001</v>
      </c>
      <c r="C38" s="301" t="s">
        <v>86</v>
      </c>
      <c r="D38" s="301"/>
      <c r="E38" s="15">
        <f>(E37/I35)*1000</f>
        <v>28.574286000028575</v>
      </c>
      <c r="F38" s="301" t="s">
        <v>87</v>
      </c>
      <c r="G38" s="301"/>
      <c r="H38" s="301"/>
      <c r="I38" s="38">
        <f>I36*E38</f>
        <v>571485.72000057145</v>
      </c>
    </row>
    <row r="39" spans="1:13" x14ac:dyDescent="0.3">
      <c r="C39" s="301" t="s">
        <v>151</v>
      </c>
      <c r="D39" s="301"/>
      <c r="E39" s="15">
        <f>IF(C5="Roll", ((E37/C13)*1000), IF(C5="Sleeve", ((E37/G14)*1000), IF(C5="Bag or Pouch", ((E37/K13)*1000), "")))</f>
        <v>874.5463290917836</v>
      </c>
    </row>
    <row r="40" spans="1:13" x14ac:dyDescent="0.3">
      <c r="C40" s="301"/>
      <c r="D40" s="301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8" t="s">
        <v>92</v>
      </c>
      <c r="B44" s="319"/>
      <c r="C44" s="32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21" t="s">
        <v>62</v>
      </c>
      <c r="B46" s="321"/>
      <c r="C46" s="321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21" t="s">
        <v>63</v>
      </c>
      <c r="B47" s="321"/>
      <c r="C47" s="321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21" t="s">
        <v>48</v>
      </c>
      <c r="B48" s="321"/>
      <c r="C48" s="321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21" t="s">
        <v>85</v>
      </c>
      <c r="B49" s="321"/>
      <c r="C49" s="321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21" t="s">
        <v>64</v>
      </c>
      <c r="B50" s="321"/>
      <c r="C50" s="321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21" t="s">
        <v>93</v>
      </c>
      <c r="B52" s="321"/>
      <c r="C52" s="321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21" t="s">
        <v>49</v>
      </c>
      <c r="B53" s="321"/>
      <c r="C53" s="321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32">
        <f>SUMIF($A$60:$A$69,"true",$G$60:$G$69)</f>
        <v>141966.47760014096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33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33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33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33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33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33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33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33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34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305"/>
      <c r="C73" s="306" t="s">
        <v>41</v>
      </c>
      <c r="D73" s="80" t="s">
        <v>91</v>
      </c>
      <c r="E73" s="308" t="s">
        <v>42</v>
      </c>
      <c r="F73" s="310" t="s">
        <v>43</v>
      </c>
      <c r="G73" s="310" t="s">
        <v>107</v>
      </c>
      <c r="H73" s="312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305"/>
      <c r="C74" s="307"/>
      <c r="D74" s="181">
        <v>0.3</v>
      </c>
      <c r="E74" s="309"/>
      <c r="F74" s="311"/>
      <c r="G74" s="311"/>
      <c r="H74" s="313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304"/>
      <c r="I82" s="304"/>
      <c r="J82" s="304"/>
      <c r="K82" s="41"/>
      <c r="L82" s="41"/>
      <c r="M82" s="41"/>
      <c r="N82" s="41"/>
    </row>
    <row r="83" spans="1:21" ht="18" x14ac:dyDescent="0.35">
      <c r="A83" s="54"/>
      <c r="B83" s="303" t="s">
        <v>136</v>
      </c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24" t="s">
        <v>146</v>
      </c>
      <c r="I87" s="325"/>
      <c r="J87" s="17" t="s">
        <v>148</v>
      </c>
      <c r="K87" s="326" t="s">
        <v>147</v>
      </c>
      <c r="L87" s="327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28">
        <f>C75+H70</f>
        <v>10.167385929069098</v>
      </c>
      <c r="I88" s="329"/>
      <c r="J88" s="162">
        <f>(K88-H88)/H88</f>
        <v>0.98761894452246557</v>
      </c>
      <c r="K88" s="330">
        <f>E106+E122</f>
        <v>20.20888888888889</v>
      </c>
      <c r="L88" s="331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273" t="s">
        <v>159</v>
      </c>
      <c r="R92" s="273"/>
      <c r="S92" s="112">
        <f>H75</f>
        <v>11.388104543787712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77" t="s">
        <v>148</v>
      </c>
      <c r="U94" s="278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274">
        <f>R96-R95</f>
        <v>10.041502959819791</v>
      </c>
      <c r="U95" s="276">
        <f>(R96-R95)/R95</f>
        <v>0.98761894452246557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275"/>
      <c r="U96" s="276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3">
      <c r="B105" s="41"/>
      <c r="E105" s="141">
        <f>SUM(E91:E104)</f>
        <v>27863.333333333336</v>
      </c>
      <c r="P105" s="222"/>
    </row>
    <row r="106" spans="2:19" x14ac:dyDescent="0.3">
      <c r="B106" s="41"/>
      <c r="D106" s="87" t="s">
        <v>141</v>
      </c>
      <c r="E106" s="140">
        <f>E105/C85</f>
        <v>18.575555555555557</v>
      </c>
      <c r="P106" s="222"/>
    </row>
    <row r="107" spans="2:19" x14ac:dyDescent="0.3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302" t="s">
        <v>145</v>
      </c>
      <c r="C122" s="302"/>
      <c r="D122" s="302"/>
      <c r="E122" s="140">
        <f>E121/C85</f>
        <v>1.6333333333333333</v>
      </c>
      <c r="P122" s="222"/>
    </row>
    <row r="123" spans="2:16" x14ac:dyDescent="0.3">
      <c r="B123" s="302" t="s">
        <v>142</v>
      </c>
      <c r="C123" s="302"/>
      <c r="D123" s="302"/>
      <c r="E123" s="159">
        <f>(E122-H70)/H70</f>
        <v>-0.76989873089142391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Q92:R92"/>
    <mergeCell ref="T94:U94"/>
    <mergeCell ref="T95:T96"/>
    <mergeCell ref="U95:U96"/>
    <mergeCell ref="M17:N17"/>
    <mergeCell ref="M18:N18"/>
    <mergeCell ref="M19:N20"/>
    <mergeCell ref="C21:C23"/>
    <mergeCell ref="E21:E23"/>
    <mergeCell ref="H21:H23"/>
    <mergeCell ref="F21:F23"/>
    <mergeCell ref="E17:F17"/>
    <mergeCell ref="G21:G23"/>
    <mergeCell ref="M12:O12"/>
    <mergeCell ref="M13:N13"/>
    <mergeCell ref="M14:N14"/>
    <mergeCell ref="M15:N15"/>
    <mergeCell ref="M16:N16"/>
    <mergeCell ref="I16:J16"/>
    <mergeCell ref="E15:F15"/>
    <mergeCell ref="E12:G12"/>
    <mergeCell ref="E13:F13"/>
    <mergeCell ref="E14:F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G73:G74"/>
    <mergeCell ref="H82:J82"/>
    <mergeCell ref="A48:C48"/>
    <mergeCell ref="A53:C53"/>
    <mergeCell ref="E73:E74"/>
    <mergeCell ref="F73:F74"/>
    <mergeCell ref="H73:H74"/>
    <mergeCell ref="H60:H69"/>
    <mergeCell ref="B122:D122"/>
    <mergeCell ref="B123:D123"/>
    <mergeCell ref="B83:L83"/>
    <mergeCell ref="H87:I87"/>
    <mergeCell ref="K87:L87"/>
    <mergeCell ref="H88:I88"/>
    <mergeCell ref="K88:L88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89" t="s">
        <v>153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79" t="s">
        <v>50</v>
      </c>
      <c r="B3" s="279"/>
      <c r="C3" s="290" t="s">
        <v>133</v>
      </c>
      <c r="D3" s="290"/>
      <c r="E3" s="290"/>
      <c r="F3" s="9"/>
      <c r="G3" s="279" t="s">
        <v>56</v>
      </c>
      <c r="H3" s="279"/>
      <c r="I3" s="290" t="s">
        <v>134</v>
      </c>
      <c r="J3" s="290"/>
      <c r="K3" s="290"/>
      <c r="L3" s="290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79" t="s">
        <v>51</v>
      </c>
      <c r="B5" s="279"/>
      <c r="C5" s="280" t="s">
        <v>52</v>
      </c>
      <c r="D5" s="280"/>
      <c r="E5" s="280"/>
      <c r="F5" s="9"/>
      <c r="G5" s="279" t="s">
        <v>53</v>
      </c>
      <c r="H5" s="279"/>
      <c r="I5" s="281">
        <v>500</v>
      </c>
      <c r="J5" s="281"/>
      <c r="K5" s="280" t="s">
        <v>3</v>
      </c>
      <c r="L5" s="280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82" t="s">
        <v>54</v>
      </c>
      <c r="B9" s="282"/>
      <c r="C9" s="282"/>
      <c r="O9" s="20"/>
      <c r="P9" s="20"/>
      <c r="Q9" s="20"/>
    </row>
    <row r="10" spans="1:19" ht="15.6" x14ac:dyDescent="0.3">
      <c r="A10" s="282" t="s">
        <v>55</v>
      </c>
      <c r="B10" s="282"/>
      <c r="C10" s="282"/>
      <c r="N10" s="288"/>
      <c r="O10" s="288"/>
      <c r="P10" s="288"/>
      <c r="Q10" s="288"/>
      <c r="R10" s="44"/>
    </row>
    <row r="11" spans="1:19" ht="15" thickBot="1" x14ac:dyDescent="0.35"/>
    <row r="12" spans="1:19" ht="15" thickBot="1" x14ac:dyDescent="0.35">
      <c r="A12" s="294"/>
      <c r="B12" s="294"/>
      <c r="C12" s="294"/>
      <c r="E12" s="294"/>
      <c r="F12" s="294"/>
      <c r="G12" s="294"/>
      <c r="I12" s="343" t="s">
        <v>70</v>
      </c>
      <c r="J12" s="344"/>
      <c r="K12" s="345"/>
      <c r="M12" s="343" t="s">
        <v>73</v>
      </c>
      <c r="N12" s="344"/>
      <c r="O12" s="345"/>
    </row>
    <row r="13" spans="1:19" x14ac:dyDescent="0.3">
      <c r="A13" s="283"/>
      <c r="B13" s="283"/>
      <c r="C13" s="21"/>
      <c r="E13" s="283"/>
      <c r="F13" s="283"/>
      <c r="G13" s="21"/>
      <c r="I13" s="340" t="s">
        <v>71</v>
      </c>
      <c r="J13" s="341"/>
      <c r="K13" s="29">
        <v>720</v>
      </c>
      <c r="M13" s="340" t="s">
        <v>75</v>
      </c>
      <c r="N13" s="341"/>
      <c r="O13" s="33">
        <v>6.94</v>
      </c>
    </row>
    <row r="14" spans="1:19" x14ac:dyDescent="0.3">
      <c r="A14" s="283"/>
      <c r="B14" s="283"/>
      <c r="C14" s="21"/>
      <c r="E14" s="283"/>
      <c r="F14" s="283"/>
      <c r="G14" s="21"/>
      <c r="I14" s="295" t="s">
        <v>72</v>
      </c>
      <c r="J14" s="296"/>
      <c r="K14" s="30">
        <v>310</v>
      </c>
      <c r="M14" s="295" t="s">
        <v>76</v>
      </c>
      <c r="N14" s="296"/>
      <c r="O14" s="34">
        <v>0.25</v>
      </c>
      <c r="P14" s="21"/>
      <c r="R14" s="21"/>
    </row>
    <row r="15" spans="1:19" x14ac:dyDescent="0.3">
      <c r="A15" s="283"/>
      <c r="B15" s="283"/>
      <c r="C15" s="131"/>
      <c r="E15" s="283"/>
      <c r="F15" s="283"/>
      <c r="G15" s="21"/>
      <c r="I15" s="23" t="s">
        <v>6</v>
      </c>
      <c r="J15" s="22"/>
      <c r="K15" s="31">
        <v>20</v>
      </c>
      <c r="M15" s="295" t="s">
        <v>74</v>
      </c>
      <c r="N15" s="296"/>
      <c r="O15" s="24">
        <f>O14/O13</f>
        <v>3.6023054755043228E-2</v>
      </c>
      <c r="P15" s="21"/>
      <c r="R15" s="21"/>
    </row>
    <row r="16" spans="1:19" ht="15" thickBot="1" x14ac:dyDescent="0.35">
      <c r="A16" s="283"/>
      <c r="B16" s="283"/>
      <c r="C16" s="6"/>
      <c r="E16" s="4"/>
      <c r="F16" s="4"/>
      <c r="G16" s="131"/>
      <c r="I16" s="297" t="s">
        <v>7</v>
      </c>
      <c r="J16" s="298"/>
      <c r="K16" s="32">
        <v>3</v>
      </c>
      <c r="M16" s="295" t="s">
        <v>77</v>
      </c>
      <c r="N16" s="296"/>
      <c r="O16" s="25">
        <f>K14*O13*0.001</f>
        <v>2.1514000000000002</v>
      </c>
    </row>
    <row r="17" spans="1:15" x14ac:dyDescent="0.3">
      <c r="A17" s="283"/>
      <c r="B17" s="283"/>
      <c r="C17" s="6"/>
      <c r="E17" s="283"/>
      <c r="F17" s="283"/>
      <c r="G17" s="6"/>
      <c r="M17" s="295" t="s">
        <v>78</v>
      </c>
      <c r="N17" s="296"/>
      <c r="O17" s="24">
        <f>O16*O15</f>
        <v>7.7500000000000013E-2</v>
      </c>
    </row>
    <row r="18" spans="1:15" x14ac:dyDescent="0.3">
      <c r="M18" s="295" t="s">
        <v>79</v>
      </c>
      <c r="N18" s="296"/>
      <c r="O18" s="26">
        <f>O17*E35</f>
        <v>2.0002432295767165</v>
      </c>
    </row>
    <row r="19" spans="1:15" x14ac:dyDescent="0.3">
      <c r="M19" s="348" t="s">
        <v>80</v>
      </c>
      <c r="N19" s="349"/>
      <c r="O19" s="27">
        <f>(O16*I37*1000)/O13</f>
        <v>155000</v>
      </c>
    </row>
    <row r="20" spans="1:15" ht="15" thickBot="1" x14ac:dyDescent="0.35">
      <c r="M20" s="350"/>
      <c r="N20" s="351"/>
      <c r="O20" s="28">
        <f>O16*I37</f>
        <v>1075.7</v>
      </c>
    </row>
    <row r="21" spans="1:15" x14ac:dyDescent="0.3">
      <c r="C21" s="284" t="s">
        <v>81</v>
      </c>
      <c r="D21" s="53"/>
      <c r="E21" s="284" t="s">
        <v>81</v>
      </c>
      <c r="F21" s="284"/>
      <c r="G21" s="284" t="s">
        <v>81</v>
      </c>
      <c r="H21" s="284" t="s">
        <v>81</v>
      </c>
    </row>
    <row r="22" spans="1:15" x14ac:dyDescent="0.3">
      <c r="C22" s="284"/>
      <c r="D22" s="53"/>
      <c r="E22" s="284"/>
      <c r="F22" s="284"/>
      <c r="G22" s="284"/>
      <c r="H22" s="284"/>
    </row>
    <row r="23" spans="1:15" ht="15" thickBot="1" x14ac:dyDescent="0.35">
      <c r="C23" s="285"/>
      <c r="D23" s="53"/>
      <c r="E23" s="285"/>
      <c r="F23" s="285"/>
      <c r="G23" s="285"/>
      <c r="H23" s="285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" thickBot="1" x14ac:dyDescent="0.35">
      <c r="A33" s="346" t="s">
        <v>38</v>
      </c>
      <c r="B33" s="347"/>
      <c r="C33" s="347"/>
      <c r="D33" s="347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1.0597680097680098</v>
      </c>
      <c r="C35" s="301" t="s">
        <v>66</v>
      </c>
      <c r="D35" s="301"/>
      <c r="E35" s="35">
        <f>IF(C5="Roll", (1000/(C13*C14*B37*0.001*0.001))*C16, IF(C5="Sleeve", (1000/(G14*G15*B37*0.001*0.001))*1, IF(C5="Bag or Pouch", (1000/(K14*K13*B37*0.001*0.001))*1, "")))</f>
        <v>25.809590059054404</v>
      </c>
      <c r="F35" s="301" t="s">
        <v>65</v>
      </c>
      <c r="G35" s="301"/>
      <c r="H35" s="301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301" t="s">
        <v>59</v>
      </c>
      <c r="D36" s="301"/>
      <c r="E36" s="15">
        <f>1000/E35</f>
        <v>38.745288000000002</v>
      </c>
      <c r="F36" s="301" t="s">
        <v>88</v>
      </c>
      <c r="G36" s="301"/>
      <c r="H36" s="301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3">
      <c r="A37" s="2" t="s">
        <v>15</v>
      </c>
      <c r="B37" s="37">
        <f>SUM(F25:F32)</f>
        <v>173.59</v>
      </c>
      <c r="C37" s="301" t="s">
        <v>60</v>
      </c>
      <c r="D37" s="301"/>
      <c r="E37" s="15">
        <f>1000/B37</f>
        <v>5.7607005011809438</v>
      </c>
      <c r="F37" s="301" t="s">
        <v>89</v>
      </c>
      <c r="G37" s="301"/>
      <c r="H37" s="301"/>
      <c r="I37" s="38">
        <f>(I36*1000)/E36/1000</f>
        <v>500</v>
      </c>
    </row>
    <row r="38" spans="1:14" x14ac:dyDescent="0.3">
      <c r="A38" s="2" t="s">
        <v>83</v>
      </c>
      <c r="B38" s="16">
        <f>SUM(I25:I32)+I33</f>
        <v>0.38158350000000002</v>
      </c>
      <c r="C38" s="301" t="s">
        <v>86</v>
      </c>
      <c r="D38" s="301"/>
      <c r="E38" s="15">
        <f>(E37/I35)*1000</f>
        <v>6.063895264400994</v>
      </c>
      <c r="F38" s="301" t="s">
        <v>87</v>
      </c>
      <c r="G38" s="301"/>
      <c r="H38" s="301"/>
      <c r="I38" s="38">
        <f>I36*E38</f>
        <v>117473.68421052633</v>
      </c>
    </row>
    <row r="39" spans="1:14" x14ac:dyDescent="0.3">
      <c r="C39" s="301" t="s">
        <v>61</v>
      </c>
      <c r="D39" s="301"/>
      <c r="E39" s="15">
        <f>IF(C5="Roll", ((E37/C13)*1000), IF(C5="Sleeve", ((E37/G14)*1000), IF(C5="Bag or Pouch", ((E37/K13)*1000), "")))</f>
        <v>8.0009729183068661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318" t="s">
        <v>92</v>
      </c>
      <c r="B44" s="319"/>
      <c r="C44" s="32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321" t="s">
        <v>62</v>
      </c>
      <c r="B46" s="321"/>
      <c r="C46" s="321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321" t="s">
        <v>63</v>
      </c>
      <c r="B47" s="321"/>
      <c r="C47" s="321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321" t="s">
        <v>48</v>
      </c>
      <c r="B48" s="321"/>
      <c r="C48" s="321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21" t="s">
        <v>85</v>
      </c>
      <c r="B49" s="321"/>
      <c r="C49" s="321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21" t="s">
        <v>64</v>
      </c>
      <c r="B50" s="321"/>
      <c r="C50" s="321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21" t="s">
        <v>93</v>
      </c>
      <c r="B52" s="321"/>
      <c r="C52" s="321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21" t="s">
        <v>49</v>
      </c>
      <c r="B53" s="321"/>
      <c r="C53" s="321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32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33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33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33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33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33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33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33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33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34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305"/>
      <c r="C73" s="306" t="s">
        <v>41</v>
      </c>
      <c r="D73" s="80" t="s">
        <v>91</v>
      </c>
      <c r="E73" s="308" t="s">
        <v>42</v>
      </c>
      <c r="F73" s="310" t="s">
        <v>43</v>
      </c>
      <c r="G73" s="310" t="s">
        <v>107</v>
      </c>
      <c r="H73" s="312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305"/>
      <c r="C74" s="307"/>
      <c r="D74" s="181">
        <v>0.3</v>
      </c>
      <c r="E74" s="309"/>
      <c r="F74" s="311"/>
      <c r="G74" s="311"/>
      <c r="H74" s="313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304"/>
      <c r="I82" s="304"/>
      <c r="J82" s="304"/>
      <c r="K82" s="41"/>
      <c r="L82" s="41"/>
      <c r="M82" s="41"/>
      <c r="N82" s="41"/>
    </row>
    <row r="83" spans="1:21" ht="18" x14ac:dyDescent="0.35">
      <c r="A83" s="54"/>
      <c r="B83" s="303" t="s">
        <v>136</v>
      </c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24" t="s">
        <v>146</v>
      </c>
      <c r="I87" s="325"/>
      <c r="J87" s="17" t="s">
        <v>148</v>
      </c>
      <c r="K87" s="326" t="s">
        <v>147</v>
      </c>
      <c r="L87" s="327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28">
        <f>C75+H70</f>
        <v>3.0787051830524823</v>
      </c>
      <c r="I88" s="329"/>
      <c r="J88" s="162">
        <f>(K88-H88)/H88</f>
        <v>6.0858781331305026E-2</v>
      </c>
      <c r="K88" s="330">
        <f>E106+E122</f>
        <v>3.2660714285714287</v>
      </c>
      <c r="L88" s="331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273" t="s">
        <v>159</v>
      </c>
      <c r="R92" s="273"/>
      <c r="S92" s="112">
        <f>H75</f>
        <v>4.0381616609601965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277" t="s">
        <v>148</v>
      </c>
      <c r="U94" s="278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274">
        <f>R96-R95</f>
        <v>0.18736624551894643</v>
      </c>
      <c r="U95" s="276">
        <f>(R96-R95)/R95</f>
        <v>6.0858781331305026E-2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275"/>
      <c r="U96" s="276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3">
      <c r="B105" s="41"/>
      <c r="E105" s="141">
        <f>SUM(E91:E104)</f>
        <v>32125</v>
      </c>
      <c r="P105" s="222"/>
    </row>
    <row r="106" spans="2:19" x14ac:dyDescent="0.3">
      <c r="B106" s="41"/>
      <c r="D106" s="87" t="s">
        <v>141</v>
      </c>
      <c r="E106" s="140">
        <f>E105/C85</f>
        <v>2.2946428571428572</v>
      </c>
      <c r="P106" s="222"/>
    </row>
    <row r="107" spans="2:19" x14ac:dyDescent="0.3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302" t="s">
        <v>145</v>
      </c>
      <c r="C122" s="302"/>
      <c r="D122" s="302"/>
      <c r="E122" s="140">
        <f>E121/C85</f>
        <v>0.97142857142857142</v>
      </c>
      <c r="P122" s="222"/>
    </row>
    <row r="123" spans="2:16" x14ac:dyDescent="0.3">
      <c r="B123" s="302" t="s">
        <v>142</v>
      </c>
      <c r="C123" s="302"/>
      <c r="D123" s="302"/>
      <c r="E123" s="159">
        <f>(E122-H70)/H70</f>
        <v>0.10324804175431759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  <mergeCell ref="C39:D39"/>
    <mergeCell ref="A44:C44"/>
    <mergeCell ref="A46:C46"/>
    <mergeCell ref="A53:C53"/>
    <mergeCell ref="A47:C47"/>
    <mergeCell ref="A48:C48"/>
    <mergeCell ref="A49:C49"/>
    <mergeCell ref="A50:C50"/>
    <mergeCell ref="M18:N18"/>
    <mergeCell ref="M19:N20"/>
    <mergeCell ref="F36:H36"/>
    <mergeCell ref="G21:G23"/>
    <mergeCell ref="H21:H23"/>
    <mergeCell ref="C21:C23"/>
    <mergeCell ref="E21:E23"/>
    <mergeCell ref="F21:F23"/>
    <mergeCell ref="A33:D33"/>
    <mergeCell ref="C35:D35"/>
    <mergeCell ref="F35:H35"/>
    <mergeCell ref="C36:D36"/>
    <mergeCell ref="F38:H38"/>
    <mergeCell ref="C37:D37"/>
    <mergeCell ref="F37:H37"/>
    <mergeCell ref="C38:D38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3:B13"/>
    <mergeCell ref="E13:F13"/>
    <mergeCell ref="I13:J13"/>
    <mergeCell ref="M13:N13"/>
    <mergeCell ref="A14:B14"/>
    <mergeCell ref="E14:F14"/>
    <mergeCell ref="I14:J14"/>
    <mergeCell ref="M14:N14"/>
    <mergeCell ref="A9:C9"/>
    <mergeCell ref="A10:C10"/>
    <mergeCell ref="N10:O10"/>
    <mergeCell ref="P10:Q10"/>
    <mergeCell ref="A12:C12"/>
    <mergeCell ref="E12:G12"/>
    <mergeCell ref="I12:K12"/>
    <mergeCell ref="M12:O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  <mergeCell ref="B122:D122"/>
    <mergeCell ref="B123:D123"/>
    <mergeCell ref="B83:L83"/>
    <mergeCell ref="H87:I87"/>
    <mergeCell ref="K87:L87"/>
    <mergeCell ref="H88:I88"/>
    <mergeCell ref="K88:L88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52" t="s">
        <v>208</v>
      </c>
      <c r="H1" s="352"/>
      <c r="I1" s="352"/>
      <c r="J1" s="352"/>
      <c r="K1" s="352" t="s">
        <v>207</v>
      </c>
      <c r="L1" s="352"/>
      <c r="M1" s="352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53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53"/>
    </row>
    <row r="9" spans="2:17" x14ac:dyDescent="0.3">
      <c r="N9" t="s">
        <v>211</v>
      </c>
      <c r="O9" t="s">
        <v>200</v>
      </c>
      <c r="P9" s="19" t="s">
        <v>195</v>
      </c>
      <c r="Q9" s="353"/>
    </row>
    <row r="10" spans="2:17" x14ac:dyDescent="0.3">
      <c r="N10" t="s">
        <v>212</v>
      </c>
      <c r="O10" t="s">
        <v>197</v>
      </c>
      <c r="P10" s="19" t="s">
        <v>164</v>
      </c>
      <c r="Q10" s="353"/>
    </row>
    <row r="11" spans="2:17" x14ac:dyDescent="0.3">
      <c r="N11" t="s">
        <v>213</v>
      </c>
      <c r="O11" t="s">
        <v>198</v>
      </c>
      <c r="P11" s="19" t="s">
        <v>192</v>
      </c>
      <c r="Q11" s="353"/>
    </row>
    <row r="12" spans="2:17" x14ac:dyDescent="0.3">
      <c r="N12" t="s">
        <v>217</v>
      </c>
      <c r="O12" t="s">
        <v>216</v>
      </c>
      <c r="P12" s="19" t="s">
        <v>193</v>
      </c>
      <c r="Q12" s="353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T25"/>
  <sheetViews>
    <sheetView topLeftCell="A6" zoomScale="70" zoomScaleNormal="70" workbookViewId="0">
      <selection activeCell="V8" sqref="V8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  <col min="18" max="18" width="12.33203125" customWidth="1"/>
  </cols>
  <sheetData>
    <row r="7" spans="7:14" ht="22.8" x14ac:dyDescent="0.3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" customHeight="1" x14ac:dyDescent="0.3">
      <c r="G8" s="354">
        <v>1</v>
      </c>
      <c r="H8" s="355" t="s">
        <v>34</v>
      </c>
      <c r="I8" s="355" t="s">
        <v>328</v>
      </c>
      <c r="J8" s="355" t="s">
        <v>328</v>
      </c>
      <c r="K8" s="355" t="s">
        <v>328</v>
      </c>
      <c r="L8" s="355" t="s">
        <v>331</v>
      </c>
      <c r="M8" s="355" t="s">
        <v>328</v>
      </c>
      <c r="N8" s="355" t="s">
        <v>331</v>
      </c>
    </row>
    <row r="9" spans="7:14" x14ac:dyDescent="0.3">
      <c r="G9" s="354"/>
      <c r="H9" s="355"/>
      <c r="I9" s="355"/>
      <c r="J9" s="355"/>
      <c r="K9" s="355"/>
      <c r="L9" s="355"/>
      <c r="M9" s="355"/>
      <c r="N9" s="355"/>
    </row>
    <row r="17" spans="7:20" ht="55.2" x14ac:dyDescent="0.3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  <row r="20" spans="7:20" x14ac:dyDescent="0.3">
      <c r="Q20" s="271" t="s">
        <v>326</v>
      </c>
      <c r="R20" s="271" t="s">
        <v>203</v>
      </c>
      <c r="S20" s="271" t="s">
        <v>14</v>
      </c>
      <c r="T20" s="271" t="s">
        <v>220</v>
      </c>
    </row>
    <row r="21" spans="7:20" x14ac:dyDescent="0.3">
      <c r="Q21" s="272" t="s">
        <v>238</v>
      </c>
      <c r="R21" s="272" t="s">
        <v>332</v>
      </c>
      <c r="S21" s="272">
        <v>0.9</v>
      </c>
      <c r="T21" s="272">
        <v>0</v>
      </c>
    </row>
    <row r="22" spans="7:20" x14ac:dyDescent="0.3">
      <c r="Q22" s="272" t="s">
        <v>238</v>
      </c>
      <c r="R22" s="272" t="s">
        <v>333</v>
      </c>
      <c r="S22" s="272">
        <v>0.79</v>
      </c>
      <c r="T22" s="272">
        <v>0</v>
      </c>
    </row>
    <row r="23" spans="7:20" x14ac:dyDescent="0.3">
      <c r="Q23" s="272" t="s">
        <v>238</v>
      </c>
      <c r="R23" s="272" t="s">
        <v>334</v>
      </c>
      <c r="S23" s="272">
        <v>0.79</v>
      </c>
      <c r="T23" s="272">
        <v>0</v>
      </c>
    </row>
    <row r="24" spans="7:20" x14ac:dyDescent="0.3">
      <c r="Q24" s="272" t="s">
        <v>238</v>
      </c>
      <c r="R24" s="272" t="s">
        <v>335</v>
      </c>
      <c r="S24" s="272">
        <v>0.8</v>
      </c>
      <c r="T24" s="272">
        <v>0</v>
      </c>
    </row>
    <row r="25" spans="7:20" x14ac:dyDescent="0.3">
      <c r="Q25" s="272" t="s">
        <v>238</v>
      </c>
      <c r="R25" s="272" t="s">
        <v>336</v>
      </c>
      <c r="S25" s="272">
        <v>0.87</v>
      </c>
      <c r="T25" s="272">
        <v>0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74</vt:i4>
      </vt:variant>
    </vt:vector>
  </HeadingPairs>
  <TitlesOfParts>
    <vt:vector size="84" baseType="lpstr">
      <vt:lpstr>PE Bag</vt:lpstr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Sheet2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2026-06-26T14:03:43Z</dcterms:modified>
</cp:coreProperties>
</file>