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295F4756-C7F0-4892-8428-1C09AC56C009}" xr6:coauthVersionLast="47" xr6:coauthVersionMax="47" xr10:uidLastSave="{00000000-0000-0000-0000-000000000000}"/>
  <bookViews>
    <workbookView xWindow="-108" yWindow="-108" windowWidth="23256" windowHeight="12456" tabRatio="685" xr2:uid="{8B4D55F6-3FB6-4E47-8881-ACB8C7217C59}"/>
  </bookViews>
  <sheets>
    <sheet name="PE Bag" sheetId="11" r:id="rId1"/>
    <sheet name="Substrate Costing Master" sheetId="8" r:id="rId2"/>
    <sheet name="Sheet3" sheetId="9" r:id="rId3"/>
    <sheet name="Roll" sheetId="4" r:id="rId4"/>
    <sheet name="Data" sheetId="2" r:id="rId5"/>
    <sheet name="Sleeve" sheetId="3" r:id="rId6"/>
    <sheet name="Pouch" sheetId="5" r:id="rId7"/>
    <sheet name="Overall" sheetId="6" r:id="rId8"/>
    <sheet name="Sheet1" sheetId="7" r:id="rId9"/>
    <sheet name="Sheet2" sheetId="10" r:id="rId10"/>
  </sheets>
  <definedNames>
    <definedName name="_xlnm._FilterDatabase" localSheetId="1" hidden="1">'Substrate Costing Master'!$A$1:$F$46</definedName>
    <definedName name="Adhesive" localSheetId="0">A[Adhesive]</definedName>
    <definedName name="Adhesive" localSheetId="6">A[Adhesive]</definedName>
    <definedName name="Adhesive" localSheetId="3">A[Adhesive]</definedName>
    <definedName name="Adhesive" localSheetId="5">A[Adhesive]</definedName>
    <definedName name="Adhesive">A[Adhesive]</definedName>
    <definedName name="CO_Pouch" localSheetId="0">'PE Bag'!$K$14</definedName>
    <definedName name="CO_Pouch" localSheetId="6">Pouch!$K$14</definedName>
    <definedName name="CO_Pouch" localSheetId="3">Roll!$K$14</definedName>
    <definedName name="CO_Pouch">Sleeve!$K$14</definedName>
    <definedName name="CO_Roll" localSheetId="0">'PE Bag'!$C$14</definedName>
    <definedName name="CO_Roll" localSheetId="6">Pouch!$C$14</definedName>
    <definedName name="CO_Roll" localSheetId="3">Roll!$C$14</definedName>
    <definedName name="CO_Roll">Sleeve!$C$14</definedName>
    <definedName name="CO_Sleeve" localSheetId="0">'PE Bag'!$G$15</definedName>
    <definedName name="CO_Sleeve" localSheetId="6">Pouch!$G$15</definedName>
    <definedName name="CO_Sleeve" localSheetId="3">Roll!$G$15</definedName>
    <definedName name="CO_Sleeve">Sleeve!$G$15</definedName>
    <definedName name="FLW" localSheetId="0">'PE Bag'!$I$35</definedName>
    <definedName name="FLW" localSheetId="6">Pouch!$I$35</definedName>
    <definedName name="FLW" localSheetId="3">Roll!$I$35</definedName>
    <definedName name="FLW">Sleeve!$I$35</definedName>
    <definedName name="Forms">Overall!$G$2:$M$2</definedName>
    <definedName name="Ink" localSheetId="0">Table4[Ink]</definedName>
    <definedName name="Ink" localSheetId="6">Table4[Ink]</definedName>
    <definedName name="Ink" localSheetId="3">Table4[Ink]</definedName>
    <definedName name="Ink" localSheetId="5">Table4[Ink]</definedName>
    <definedName name="Ink">Table4[Ink]</definedName>
    <definedName name="Nb_Ups_Sleeve" localSheetId="0">'PE Bag'!$G$17</definedName>
    <definedName name="Nb_Ups_Sleeve" localSheetId="6">Pouch!$G$17</definedName>
    <definedName name="Nb_Ups_Sleeve" localSheetId="3">Roll!$G$17</definedName>
    <definedName name="Nb_Ups_Sleeve">Sleeve!$G$17</definedName>
    <definedName name="OQKG" localSheetId="0">'PE Bag'!$I$36</definedName>
    <definedName name="OQKG" localSheetId="6">Pouch!$I$36</definedName>
    <definedName name="OQKG" localSheetId="3">Roll!$I$36</definedName>
    <definedName name="OQKG">Sleeve!$I$36</definedName>
    <definedName name="OQM" localSheetId="0">'PE Bag'!$I$38</definedName>
    <definedName name="OQM" localSheetId="6">Pouch!$I$38</definedName>
    <definedName name="OQM" localSheetId="3">Roll!$I$38</definedName>
    <definedName name="OQM">Sleeve!$I$38</definedName>
    <definedName name="Packaging" localSheetId="0">A[Packaging]</definedName>
    <definedName name="Packaging">A[Packaging]</definedName>
    <definedName name="_xlnm.Print_Area" localSheetId="0">'PE Bag'!$A$1:$L$79</definedName>
    <definedName name="_xlnm.Print_Area" localSheetId="6">Pouch!$A$1:$O$78</definedName>
    <definedName name="_xlnm.Print_Area" localSheetId="3">Roll!$A$1:$L$79</definedName>
    <definedName name="_xlnm.Print_Area" localSheetId="5">Sleeve!$A$1:$L$78</definedName>
    <definedName name="Ptypes" localSheetId="0">PTypeT[Product Type]</definedName>
    <definedName name="Ptypes" localSheetId="6">PTypeT[Product Type]</definedName>
    <definedName name="Ptypes" localSheetId="3">PTypeT[Product Type]</definedName>
    <definedName name="Ptypes" localSheetId="5">PTypeT[Product Type]</definedName>
    <definedName name="Ptypes">PTypeT[Product Type]</definedName>
    <definedName name="Substrate" localSheetId="0">Table3[Substrate]</definedName>
    <definedName name="Substrate" localSheetId="6">Table3[Substrate]</definedName>
    <definedName name="Substrate" localSheetId="3">Table3[Substrate]</definedName>
    <definedName name="Substrate" localSheetId="5">Table3[Substrate]</definedName>
    <definedName name="Substrate">Table3[Substrate]</definedName>
    <definedName name="Substrates" localSheetId="0">Table3[Substrate]</definedName>
    <definedName name="Substrates" localSheetId="6">Table3[Substrate]</definedName>
    <definedName name="Substrates" localSheetId="3">Table3[Substrate]</definedName>
    <definedName name="Substrates" localSheetId="5">Table3[Substrate]</definedName>
    <definedName name="Substrates">Table3[Substrate]</definedName>
    <definedName name="Type" localSheetId="0">T[Material Type]</definedName>
    <definedName name="Type" localSheetId="6">T[Material Type]</definedName>
    <definedName name="Type" localSheetId="3">T[Material Type]</definedName>
    <definedName name="Type" localSheetId="5">T[Material Type]</definedName>
    <definedName name="Type">T[Material Type]</definedName>
    <definedName name="Unit" localSheetId="0">UT[Units]</definedName>
    <definedName name="Unit" localSheetId="6">UT[Units]</definedName>
    <definedName name="Unit" localSheetId="3">UT[Units]</definedName>
    <definedName name="Unit" localSheetId="5">UT[Units]</definedName>
    <definedName name="Unit">UT[Units]</definedName>
    <definedName name="UnitsDD" localSheetId="0">'PE Bag'!$K$5</definedName>
    <definedName name="UnitsDD" localSheetId="6">Pouch!$K$5</definedName>
    <definedName name="UnitsDD" localSheetId="3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11" l="1"/>
  <c r="E35" i="11"/>
  <c r="E36" i="11" s="1"/>
  <c r="I31" i="4"/>
  <c r="I26" i="11"/>
  <c r="I31" i="11"/>
  <c r="C26" i="11"/>
  <c r="I25" i="11" l="1"/>
  <c r="B120" i="11"/>
  <c r="D120" i="11" s="1"/>
  <c r="E120" i="11" s="1"/>
  <c r="D119" i="11"/>
  <c r="E119" i="11" s="1"/>
  <c r="B119" i="11"/>
  <c r="B118" i="11"/>
  <c r="D118" i="11" s="1"/>
  <c r="E118" i="11" s="1"/>
  <c r="D117" i="11"/>
  <c r="E117" i="11" s="1"/>
  <c r="B117" i="11"/>
  <c r="B116" i="11"/>
  <c r="D116" i="11" s="1"/>
  <c r="E116" i="11" s="1"/>
  <c r="D115" i="11"/>
  <c r="E115" i="11" s="1"/>
  <c r="B115" i="11"/>
  <c r="B114" i="11"/>
  <c r="D114" i="11" s="1"/>
  <c r="E114" i="11" s="1"/>
  <c r="D113" i="11"/>
  <c r="E113" i="11" s="1"/>
  <c r="B113" i="11"/>
  <c r="B112" i="11"/>
  <c r="D112" i="11" s="1"/>
  <c r="E112" i="11" s="1"/>
  <c r="D111" i="11"/>
  <c r="E111" i="11" s="1"/>
  <c r="B111" i="11"/>
  <c r="B100" i="11"/>
  <c r="D100" i="11" s="1"/>
  <c r="E100" i="11" s="1"/>
  <c r="E99" i="11"/>
  <c r="D99" i="11"/>
  <c r="B99" i="11"/>
  <c r="D98" i="11"/>
  <c r="E98" i="11" s="1"/>
  <c r="B98" i="11"/>
  <c r="B97" i="11"/>
  <c r="D97" i="11" s="1"/>
  <c r="E97" i="11" s="1"/>
  <c r="B96" i="11"/>
  <c r="D96" i="11" s="1"/>
  <c r="E96" i="11" s="1"/>
  <c r="B95" i="11"/>
  <c r="D95" i="11" s="1"/>
  <c r="E95" i="11" s="1"/>
  <c r="B94" i="11"/>
  <c r="D94" i="11" s="1"/>
  <c r="E94" i="11" s="1"/>
  <c r="B93" i="11"/>
  <c r="D93" i="11" s="1"/>
  <c r="E93" i="11" s="1"/>
  <c r="B92" i="11"/>
  <c r="B91" i="11"/>
  <c r="G69" i="11"/>
  <c r="G68" i="11"/>
  <c r="G67" i="11"/>
  <c r="D49" i="11"/>
  <c r="I36" i="11"/>
  <c r="I35" i="11"/>
  <c r="E38" i="11" s="1"/>
  <c r="G31" i="11"/>
  <c r="D104" i="11" s="1"/>
  <c r="E104" i="11" s="1"/>
  <c r="G26" i="11"/>
  <c r="E26" i="11"/>
  <c r="F26" i="11"/>
  <c r="E25" i="11"/>
  <c r="F25" i="11" s="1"/>
  <c r="L19" i="11" s="1"/>
  <c r="L20" i="11" s="1"/>
  <c r="C25" i="11"/>
  <c r="L18" i="11" l="1"/>
  <c r="D92" i="11"/>
  <c r="E92" i="11" s="1"/>
  <c r="D91" i="11"/>
  <c r="E91" i="11" s="1"/>
  <c r="E121" i="11"/>
  <c r="E122" i="11" s="1"/>
  <c r="F111" i="11"/>
  <c r="F115" i="11"/>
  <c r="F116" i="11"/>
  <c r="F118" i="11"/>
  <c r="F117" i="11"/>
  <c r="F113" i="11"/>
  <c r="B36" i="11"/>
  <c r="B102" i="11" s="1"/>
  <c r="D102" i="11" s="1"/>
  <c r="E102" i="11" s="1"/>
  <c r="F112" i="11"/>
  <c r="B37" i="11"/>
  <c r="F114" i="11"/>
  <c r="F119" i="11"/>
  <c r="F120" i="11"/>
  <c r="E9" i="9"/>
  <c r="H7" i="9"/>
  <c r="H8" i="9"/>
  <c r="H9" i="9" s="1"/>
  <c r="K7" i="9" s="1"/>
  <c r="H6" i="9"/>
  <c r="D2" i="8"/>
  <c r="J25" i="11" l="1"/>
  <c r="E60" i="11" s="1"/>
  <c r="G60" i="11" s="1"/>
  <c r="K25" i="11"/>
  <c r="B38" i="11"/>
  <c r="C75" i="11" s="1"/>
  <c r="D75" i="11" s="1"/>
  <c r="J26" i="11"/>
  <c r="J31" i="11" s="1"/>
  <c r="K26" i="11"/>
  <c r="B103" i="11"/>
  <c r="D103" i="11" s="1"/>
  <c r="E103" i="11" s="1"/>
  <c r="E37" i="11"/>
  <c r="I9" i="9"/>
  <c r="K6" i="9"/>
  <c r="K8" i="9"/>
  <c r="C77" i="11" l="1"/>
  <c r="D47" i="11"/>
  <c r="D53" i="11"/>
  <c r="B101" i="11"/>
  <c r="D101" i="11" s="1"/>
  <c r="E101" i="11" s="1"/>
  <c r="F76" i="11"/>
  <c r="I37" i="11"/>
  <c r="E76" i="11"/>
  <c r="C76" i="11"/>
  <c r="D76" i="11"/>
  <c r="D77" i="11"/>
  <c r="I38" i="11"/>
  <c r="E77" i="11"/>
  <c r="E39" i="11"/>
  <c r="F77" i="11"/>
  <c r="O15" i="5"/>
  <c r="E122" i="5"/>
  <c r="E122" i="3"/>
  <c r="E105" i="11" l="1"/>
  <c r="E78" i="11"/>
  <c r="E79" i="11" s="1"/>
  <c r="F78" i="11"/>
  <c r="F79" i="11" s="1"/>
  <c r="C78" i="11"/>
  <c r="E62" i="11"/>
  <c r="G62" i="11" s="1"/>
  <c r="E65" i="11"/>
  <c r="G65" i="11" s="1"/>
  <c r="E61" i="11"/>
  <c r="G61" i="11" s="1"/>
  <c r="E64" i="11"/>
  <c r="G64" i="11" s="1"/>
  <c r="E63" i="11"/>
  <c r="G63" i="11" s="1"/>
  <c r="E66" i="11"/>
  <c r="G66" i="11" s="1"/>
  <c r="D48" i="11"/>
  <c r="D50" i="11"/>
  <c r="D78" i="11"/>
  <c r="D79" i="11" s="1"/>
  <c r="G67" i="4"/>
  <c r="G68" i="4"/>
  <c r="G69" i="4"/>
  <c r="H60" i="11" l="1"/>
  <c r="H70" i="11" s="1"/>
  <c r="R95" i="11" s="1"/>
  <c r="F99" i="11"/>
  <c r="E106" i="11"/>
  <c r="F104" i="11"/>
  <c r="F95" i="11"/>
  <c r="F96" i="11"/>
  <c r="F94" i="11"/>
  <c r="F92" i="11"/>
  <c r="F91" i="11"/>
  <c r="F98" i="11"/>
  <c r="F93" i="11"/>
  <c r="F100" i="11"/>
  <c r="F97" i="11"/>
  <c r="F102" i="11"/>
  <c r="F103" i="11"/>
  <c r="F101" i="11"/>
  <c r="C79" i="11"/>
  <c r="B120" i="5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G75" i="11" l="1"/>
  <c r="G76" i="11" s="1"/>
  <c r="H76" i="11" s="1"/>
  <c r="E123" i="11"/>
  <c r="R96" i="11"/>
  <c r="E107" i="11"/>
  <c r="D95" i="5"/>
  <c r="E95" i="5" s="1"/>
  <c r="D93" i="5"/>
  <c r="E93" i="5" s="1"/>
  <c r="D97" i="5"/>
  <c r="E97" i="5" s="1"/>
  <c r="E121" i="5"/>
  <c r="E121" i="3"/>
  <c r="H75" i="11" l="1"/>
  <c r="S92" i="11" s="1"/>
  <c r="S95" i="11" s="1"/>
  <c r="G77" i="11"/>
  <c r="H77" i="11" s="1"/>
  <c r="G78" i="11"/>
  <c r="H78" i="11" s="1"/>
  <c r="U95" i="11"/>
  <c r="T95" i="11"/>
  <c r="F112" i="5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R98" i="11" l="1"/>
  <c r="S98" i="11" s="1"/>
  <c r="R97" i="11"/>
  <c r="S97" i="11" s="1"/>
  <c r="S96" i="11"/>
  <c r="G79" i="11"/>
  <c r="H79" i="11" s="1"/>
  <c r="B112" i="4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G25" i="4"/>
  <c r="D91" i="4" s="1"/>
  <c r="E91" i="4" s="1"/>
  <c r="E25" i="4"/>
  <c r="F25" i="4" s="1"/>
  <c r="C25" i="4"/>
  <c r="D49" i="3"/>
  <c r="I25" i="4" l="1"/>
  <c r="F26" i="4"/>
  <c r="O17" i="5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l="1"/>
  <c r="E39" i="4" s="1"/>
  <c r="I36" i="4" s="1"/>
  <c r="J25" i="4" s="1"/>
  <c r="B35" i="4"/>
  <c r="B101" i="4" s="1"/>
  <c r="D101" i="4" s="1"/>
  <c r="E101" i="4" s="1"/>
  <c r="K31" i="5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D77" i="5" s="1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<sst xmlns="http://schemas.openxmlformats.org/spreadsheetml/2006/main" count="938" uniqueCount="337">
  <si>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</si>
  <si>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</si>
  <si>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</si>
  <si>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</si>
  <si>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</si>
  <si>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</si>
  <si>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</si>
  <si>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</si>
  <si>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</si>
  <si>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</si>
  <si>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</si>
  <si>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</si>
  <si>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</si>
  <si>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</si>
  <si>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</si>
  <si>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</si>
  <si>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</si>
  <si>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</si>
  <si>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</si>
  <si>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</si>
  <si>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</si>
  <si>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</si>
  <si>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</si>
  <si>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</si>
  <si>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</si>
  <si>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</si>
  <si>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</si>
  <si>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</si>
  <si>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</si>
  <si>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</si>
  <si>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</si>
  <si>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</si>
  <si>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</si>
  <si>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</si>
  <si>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</si>
  <si>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</si>
  <si>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</si>
  <si>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</si>
  <si>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</si>
  <si>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</si>
  <si>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</si>
  <si>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</si>
  <si>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</si>
  <si>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</si>
  <si>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</si>
  <si>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</si>
  <si>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</si>
  <si>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</si>
  <si>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</si>
  <si>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</si>
  <si>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</si>
  <si>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</si>
  <si>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</si>
  <si>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</si>
  <si>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</si>
  <si>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</si>
  <si>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</si>
  <si>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</si>
  <si>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</si>
  <si>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</si>
  <si>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</si>
  <si>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</si>
  <si>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</si>
  <si>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</si>
  <si>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</si>
  <si>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</si>
  <si>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</si>
  <si>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</si>
  <si>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</si>
  <si>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</si>
  <si>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</si>
  <si>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</si>
  <si>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</si>
  <si>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</si>
  <si>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</si>
  <si>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</si>
  <si>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</si>
  <si>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</si>
  <si>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</si>
  <si>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</si>
  <si>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</si>
  <si>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</si>
  <si>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</si>
  <si>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</si>
  <si>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</si>
  <si>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</si>
  <si>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</si>
  <si>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</si>
  <si>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</si>
  <si>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</si>
  <si>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</si>
  <si>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</si>
  <si>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</si>
  <si>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</si>
  <si>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</si>
  <si>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</si>
  <si>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</si>
  <si>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</si>
  <si>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</si>
  <si>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</si>
  <si>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</si>
  <si>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</si>
  <si>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</si>
  <si>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</si>
  <si>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</si>
  <si>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</si>
  <si>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</si>
  <si>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</si>
  <si>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</si>
  <si>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</si>
  <si>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</si>
  <si>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</si>
  <si>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</si>
  <si>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</si>
  <si>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</si>
  <si>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</si>
  <si>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</si>
  <si>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</si>
  <si>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</si>
  <si>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</si>
  <si>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</si>
  <si>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</si>
  <si>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</si>
  <si>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</si>
  <si>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</si>
  <si>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</si>
  <si>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</si>
  <si>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</si>
  <si>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</si>
  <si>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</si>
  <si>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</si>
  <si>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</si>
  <si>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</si>
  <si>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</si>
  <si>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</si>
  <si>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</si>
  <si>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</si>
  <si>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</si>
  <si>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</si>
  <si>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</si>
  <si>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</si>
  <si>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</si>
  <si>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</si>
  <si>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</si>
  <si>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</si>
  <si>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</si>
  <si>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</si>
  <si>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</si>
  <si>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</si>
  <si>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</si>
  <si>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</si>
  <si>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</si>
  <si>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</si>
  <si>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</si>
  <si>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</si>
  <si>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</si>
  <si>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</si>
  <si>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</si>
  <si>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</si>
  <si>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</si>
  <si>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</si>
  <si>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</si>
  <si>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</si>
  <si>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</si>
  <si>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</si>
  <si>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</si>
  <si>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</si>
  <si>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</si>
  <si>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</si>
  <si>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</si>
  <si>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</si>
  <si>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</si>
  <si>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</si>
  <si>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</si>
  <si>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</si>
  <si>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</si>
  <si>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</si>
  <si>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</si>
  <si>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</si>
  <si>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</si>
  <si>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</si>
  <si>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</si>
  <si>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</si>
  <si>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</si>
  <si>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</si>
  <si>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</si>
  <si>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</si>
  <si>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</si>
  <si>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</si>
  <si>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</si>
  <si>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</si>
  <si>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</si>
  <si>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</si>
  <si>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</si>
  <si>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</si>
  <si>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</si>
  <si>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</si>
  <si>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</si>
  <si>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</si>
  <si>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</si>
  <si>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</si>
  <si>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</si>
  <si>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</si>
  <si>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</si>
  <si>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</si>
  <si>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</si>
  <si>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</si>
  <si>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</si>
  <si>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</si>
  <si>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</si>
  <si>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</si>
  <si>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</si>
  <si>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</si>
  <si>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</si>
  <si>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</si>
  <si>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</si>
  <si>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</si>
  <si>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</si>
  <si>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</si>
  <si>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</si>
  <si>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</si>
  <si>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</si>
  <si>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</si>
  <si>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</si>
  <si>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</si>
  <si>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</si>
  <si>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</si>
  <si>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</si>
  <si>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</si>
  <si>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</si>
  <si>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</si>
  <si>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</si>
  <si>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</si>
  <si>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</si>
  <si>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</si>
  <si>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</si>
  <si>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</si>
  <si>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</si>
  <si>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</si>
  <si>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</si>
  <si>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</si>
  <si>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</si>
  <si>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</si>
  <si>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</si>
  <si>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</si>
  <si>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</si>
  <si>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</si>
  <si>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</si>
  <si>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</si>
  <si>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</si>
  <si>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</si>
  <si>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</si>
  <si>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</si>
  <si>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</si>
  <si>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</si>
  <si>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</si>
  <si>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</si>
  <si>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</si>
  <si>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</si>
  <si>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</si>
  <si>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</si>
  <si>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</si>
  <si>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</si>
  <si>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</si>
  <si>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</si>
  <si>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</si>
  <si>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</si>
  <si>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</si>
  <si>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</si>
  <si>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</si>
  <si>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</si>
  <si>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</si>
  <si>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</si>
  <si>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</si>
  <si>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</si>
  <si>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</si>
  <si>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</si>
  <si>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</si>
  <si>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</si>
  <si>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</si>
  <si>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</si>
  <si>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</si>
  <si>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</si>
  <si>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</si>
  <si>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</si>
  <si>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</si>
  <si>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</si>
  <si>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</si>
  <si>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</si>
  <si>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</si>
  <si>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</si>
  <si>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</si>
  <si>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</si>
  <si>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</si>
  <si>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</si>
  <si>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</si>
  <si>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</si>
  <si>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</si>
  <si>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</si>
  <si>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</si>
  <si>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</si>
  <si>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</si>
  <si>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</si>
  <si>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</si>
  <si>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</si>
  <si>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</si>
  <si>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</si>
  <si>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</si>
  <si>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</si>
  <si>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</si>
  <si>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</si>
  <si>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</si>
  <si>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</si>
  <si>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</si>
  <si>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</si>
  <si>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</si>
  <si>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</si>
  <si>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</si>
  <si>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</si>
  <si>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</si>
  <si>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</si>
  <si>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</si>
  <si>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</si>
  <si>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</si>
  <si>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</si>
  <si>
    <t>Layer 
Nbr</t>
  </si>
  <si>
    <t>Family</t>
  </si>
  <si>
    <t>Grade Name</t>
  </si>
  <si>
    <t>Variable</t>
  </si>
  <si>
    <t>µ / GSM</t>
  </si>
  <si>
    <t>Cost / Kg</t>
  </si>
  <si>
    <t>Claculate</t>
  </si>
  <si>
    <t>Ethyl Acetate</t>
  </si>
  <si>
    <t>Ethanol</t>
  </si>
  <si>
    <t>IPA</t>
  </si>
  <si>
    <t>MEK</t>
  </si>
  <si>
    <t>Toluene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</si>
</sst>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</numFmts>
  <fonts count="5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  <font>
      <sz val="9"/>
      <color rgb="FF8A8E97"/>
      <name val="Arial"/>
      <family val="2"/>
    </font>
    <font>
      <sz val="9"/>
      <color rgb="FF1E40AF"/>
      <name val="Arial"/>
      <family val="2"/>
    </font>
    <font>
      <sz val="9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57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0" fontId="5" fillId="5" borderId="82" xfId="0" applyFont="1" applyFill="1" applyBorder="1" applyAlignment="1">
      <alignment horizontal="center" vertical="center" wrapText="1"/>
    </xf>
    <xf numFmtId="0" fontId="5" fillId="5" borderId="83" xfId="0" applyFont="1" applyFill="1" applyBorder="1" applyAlignment="1">
      <alignment horizontal="center" vertical="center" wrapText="1"/>
    </xf>
    <xf numFmtId="0" fontId="50" fillId="1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/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1" fillId="7" borderId="0" xfId="0" applyFont="1" applyFill="1" applyAlignment="1">
      <alignment horizontal="right"/>
    </xf>
    <xf numFmtId="165" fontId="22" fillId="0" borderId="0" xfId="0" applyNumberFormat="1" applyFont="1" applyAlignment="1">
      <alignment horizontal="center" vertical="top" shrinkToFit="1"/>
    </xf>
    <xf numFmtId="0" fontId="25" fillId="7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27" fillId="10" borderId="2" xfId="0" applyFont="1" applyFill="1" applyBorder="1" applyAlignment="1">
      <alignment horizont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left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8" fillId="2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1" fillId="4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" fillId="4" borderId="70" xfId="0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9" fillId="12" borderId="2" xfId="0" applyFont="1" applyFill="1" applyBorder="1" applyAlignment="1">
      <alignment horizontal="center" vertical="center" wrapText="1"/>
    </xf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88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'PE Bag'!$B$91:$B$104</c15:sqref>
                  </c15:fullRef>
                </c:ext>
              </c:extLst>
              <c:f>('PE Bag'!$B$91:$B$94,'PE Bag'!$B$96:$B$104)</c:f>
              <c:strCache>
                <c:ptCount val="13"/>
                <c:pt idx="0">
                  <c:v>LDPE Transparent</c:v>
                </c:pt>
                <c:pt idx="1">
                  <c:v>All Colors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'PE Bag'!$F$91:$F$104</c15:sqref>
                  </c15:fullRef>
                </c:ext>
              </c:extLst>
              <c:f>('PE Bag'!$F$91:$F$94,'PE Bag'!$F$96:$F$104)</c:f>
              <c:numCache>
                <c:formatCode>0.0%</c:formatCode>
                <c:ptCount val="13"/>
                <c:pt idx="0">
                  <c:v>0.43920972644376899</c:v>
                </c:pt>
                <c:pt idx="1">
                  <c:v>0.10486322188449848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0.45592705167173253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7AD-8BD5-AB756A6172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94C-47AD-8BD5-AB756A61729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Bag'!$E$91:$E$104</c15:sqref>
                        </c15:fullRef>
                        <c15:formulaRef>
                          <c15:sqref>('PE Bag'!$E$91:$E$94,'PE Bag'!$E$96:$E$104)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94C-47AD-8BD5-AB756A61729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4C-47AD-8BD5-AB756A61729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 Bag'!$B$111:$B$120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'PE Bag'!$F$111:$F$120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6E-4F89-A991-B851AF17486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16E-4F89-A991-B851AF17486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6E-4F89-A991-B851AF17486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6E-4F89-A991-B851AF17486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0.12819384920884286</c:v>
                </c:pt>
                <c:pt idx="1">
                  <c:v>3.468774743298101E-2</c:v>
                </c:pt>
                <c:pt idx="2">
                  <c:v>0.1018889740721656</c:v>
                </c:pt>
                <c:pt idx="3">
                  <c:v>0.58441313609913659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0.15081629318687395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0.10336164612991984</c:v>
                </c:pt>
                <c:pt idx="1">
                  <c:v>0.88048809666228023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1.6150257207799976E-2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7.4708171206225679E-2</c:v>
                </c:pt>
                <c:pt idx="1">
                  <c:v>0.10023346303501944</c:v>
                </c:pt>
                <c:pt idx="2">
                  <c:v>0.29883268482490272</c:v>
                </c:pt>
                <c:pt idx="3">
                  <c:v>3.9844357976653699E-2</c:v>
                </c:pt>
                <c:pt idx="4">
                  <c:v>9.3385214007782102E-2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7.0038910505836577E-2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A16D9-EE09-4BC2-B21A-0F58E3FFD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B5131C-AB23-4301-AA30-C8BCFD781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79188D-4465-442A-A00E-1F8847E28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86560" y="19407687"/>
          <a:ext cx="8097321" cy="3866046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440871</xdr:colOff>
      <xdr:row>5</xdr:row>
      <xdr:rowOff>45719</xdr:rowOff>
    </xdr:from>
    <xdr:to>
      <xdr:col>19</xdr:col>
      <xdr:colOff>594918</xdr:colOff>
      <xdr:row>29</xdr:row>
      <xdr:rowOff>42609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6A5981-F640-E0D0-A92C-F71EB9A51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88871" y="971005"/>
          <a:ext cx="7926447" cy="5058747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8</xdr:row>
      <xdr:rowOff>1</xdr:rowOff>
    </xdr:from>
    <xdr:to>
      <xdr:col>33</xdr:col>
      <xdr:colOff>58264</xdr:colOff>
      <xdr:row>26</xdr:row>
      <xdr:rowOff>72665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C73FAC-99C2-B66B-F79F-D83BD0C8A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30000" y="1589315"/>
          <a:ext cx="7983064" cy="3915321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877EA-E9A3-4BD1-A492-C45A063DDEDE}" name="table1713" displayName="table1713" ref="A24:K30" totalsRowShown="0" headerRowDxfId="87" dataDxfId="85" headerRowBorderDxfId="86" tableBorderDxfId="84">
  <tableColumns count="11">
    <tableColumn id="1" xr3:uid="{F62923DA-268D-4C05-A3FD-5B6724B9C52C}" name="Type" dataDxfId="83"/>
    <tableColumn id="2" xr3:uid="{EB94C18A-53C7-49B4-9951-B0D45387F534}" name="Material" dataDxfId="82"/>
    <tableColumn id="3" xr3:uid="{742DCF28-FF0E-4DEB-9692-48856C57FDDF}" name="Solid_x000a_%" dataDxfId="81" dataCellStyle="Percent">
      <calculatedColumnFormula>VLOOKUP(B25,Material[],3,FALSE)</calculatedColumnFormula>
    </tableColumn>
    <tableColumn id="4" xr3:uid="{BB064559-D4BA-4F16-8EC1-30E2B240321C}" name="Micron" dataDxfId="80"/>
    <tableColumn id="5" xr3:uid="{304CED41-D1B2-4094-B75A-C9F02E2BBC34}" name="Density" dataDxfId="79">
      <calculatedColumnFormula>VLOOKUP(B25,Material[],2,FALSE)</calculatedColumnFormula>
    </tableColumn>
    <tableColumn id="6" xr3:uid="{3703A15F-9D1D-4E2C-ABDC-02144AEBEB95}" name="Total GSM" dataDxfId="78">
      <calculatedColumnFormula>IF(A25="Substrate",D25*E25,C25*D25)</calculatedColumnFormula>
    </tableColumn>
    <tableColumn id="7" xr3:uid="{BC31FE8B-DCB1-4E2C-8E3E-C33A9BE69C66}" name="Cost Per Kg" dataDxfId="77">
      <calculatedColumnFormula>VLOOKUP(B25,Material[],4,FALSE)</calculatedColumnFormula>
    </tableColumn>
    <tableColumn id="8" xr3:uid="{F0C08983-AA5A-4AB5-9E4B-3B623409C8D0}" name="Waste_x000a_%" dataDxfId="76" dataCellStyle="Percent"/>
    <tableColumn id="9" xr3:uid="{7B582428-6E7D-4270-972B-EC6937A949FF}" name="Cost / M²" dataDxfId="75">
      <calculatedColumnFormula>(IF(A25="Substrate",(F25*G25)/1000,(D25*G25)/1000))*(1+table1713[[#This Row],[Waste
%]])</calculatedColumnFormula>
    </tableColumn>
    <tableColumn id="10" xr3:uid="{5B1A4906-CAF6-4DBE-A9F3-96C66D941FC4}" name="Est._x000a_Required Kgs" dataDxfId="74">
      <calculatedColumnFormula>IF(A25="Substrate",(($I$36*F25)/$B$37)*(1+H25),(($I$36*D25)/$B$37)*(1+H25))</calculatedColumnFormula>
    </tableColumn>
    <tableColumn id="11" xr3:uid="{278FA076-FBD1-45DE-85C5-F02299C9C71A}" name="Layer %" dataDxfId="73">
      <calculatedColumnFormula>table1713[[#This Row],[Total GSM]]/$B$37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72" dataDxfId="70" headerRowBorderDxfId="71" tableBorderDxfId="69" totalsRowBorderDxfId="68" headerRowCellStyle="Normal 2" dataCellStyle="Normal 2">
  <autoFilter ref="A1:F46" xr:uid="{D190CAB3-23AB-4480-A7AB-E53E1B4A3389}"/>
  <tableColumns count="6">
    <tableColumn id="1" xr3:uid="{3B982C09-5FFF-4749-A77B-1A3F304690CC}" name="Substrate Family" dataDxfId="67" dataCellStyle="Normal 2"/>
    <tableColumn id="2" xr3:uid="{F17B36C7-B44A-44E3-87F2-2C18A83E9178}" name="Substrate Grade" dataDxfId="66" dataCellStyle="Normal 2"/>
    <tableColumn id="3" xr3:uid="{625C4FD8-DA79-4673-AA78-B61A17304DF3}" name="Density (g/cm3)" dataDxfId="65" dataCellStyle="Normal 2"/>
    <tableColumn id="4" xr3:uid="{9EE73D4B-D438-4F05-8A77-7CA02A1A151B}" name="Hoover" dataDxfId="64" dataCellStyle="Normal 2"/>
    <tableColumn id="5" xr3:uid="{FB283264-0925-4473-A7EF-E54984885832}" name="User Price" dataDxfId="63" dataCellStyle="Normal 2"/>
    <tableColumn id="6" xr3:uid="{CB02BE89-6280-4DC3-B6D5-7502235403B8}" name="Market Price " dataDxfId="62" dataCellStyle="Norma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61" dataDxfId="59" headerRowBorderDxfId="60" tableBorderDxfId="58">
  <tableColumns count="11">
    <tableColumn id="1" xr3:uid="{96576271-5AB6-4D1F-A650-9AFB007DB6B2}" name="Type" dataDxfId="57"/>
    <tableColumn id="2" xr3:uid="{D5E0E192-5AD5-4727-9F12-EAD3A3982878}" name="Material" dataDxfId="56"/>
    <tableColumn id="3" xr3:uid="{0DB7A82F-E4FA-413B-A42B-A42EA7407217}" name="Solid_x000a_%" dataDxfId="55" dataCellStyle="Percent">
      <calculatedColumnFormula>VLOOKUP(B25,Material[],3,FALSE)</calculatedColumnFormula>
    </tableColumn>
    <tableColumn id="4" xr3:uid="{229B6022-DBB2-4CCF-A1DD-CAC6A675883F}" name="Micron" dataDxfId="54"/>
    <tableColumn id="5" xr3:uid="{ECD14A31-499F-4FEA-AB58-37B0A4874C9A}" name="Density" dataDxfId="53">
      <calculatedColumnFormula>VLOOKUP(B25,Material[],2,FALSE)</calculatedColumnFormula>
    </tableColumn>
    <tableColumn id="6" xr3:uid="{DAE41353-B150-4A08-BB72-00C15FCE5305}" name="Total GSM" dataDxfId="52">
      <calculatedColumnFormula>IF(A25="Substrate",D25*E25,C25*D25)</calculatedColumnFormula>
    </tableColumn>
    <tableColumn id="7" xr3:uid="{2D2E4074-B605-494F-B5C2-626AD0F02E8D}" name="Cost Per Kg" dataDxfId="51">
      <calculatedColumnFormula>VLOOKUP(B25,Material[],4,FALSE)</calculatedColumnFormula>
    </tableColumn>
    <tableColumn id="8" xr3:uid="{BF124759-5704-403F-A548-F9852A5E0F80}" name="Waste_x000a_%" dataDxfId="50" dataCellStyle="Percent"/>
    <tableColumn id="9" xr3:uid="{DE2AE453-E261-446C-84FD-C8FABCC2AE41}" name="Cost / M²" dataDxfId="49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48">
      <calculatedColumnFormula>IF(A25="Substrate",(($I$36*F25)/$B$37)*(1+H25),(($I$36*D25)/$B$37)*(1+H25))</calculatedColumnFormula>
    </tableColumn>
    <tableColumn id="11" xr3:uid="{7729127E-5092-4133-A3D4-F264CCBA79B7}" name="Layer %" dataDxfId="47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46"/>
    <tableColumn id="4" xr3:uid="{705696B6-E241-4CE0-AFE1-37043FC331F9}" name="Solid" dataCellStyle="Percent"/>
    <tableColumn id="1" xr3:uid="{69EE0737-5119-452D-80EC-62F1CE8D7933}" name="Cost Per Kg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44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43" dataDxfId="42">
  <autoFilter ref="Q1:Q18" xr:uid="{5B46735D-3E62-4411-9491-B2CB027FCCD7}"/>
  <tableColumns count="1">
    <tableColumn id="1" xr3:uid="{9E980FBC-6C44-4579-9F83-F013225FDE31}" name="Substrate" dataDxfId="41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40" dataDxfId="39">
  <autoFilter ref="R1:R9" xr:uid="{18F0352D-76C9-4FE0-B368-CC02D4B9A4DD}"/>
  <tableColumns count="1">
    <tableColumn id="1" xr3:uid="{6C1C3C3D-7FBA-4671-9A3E-6181E3719E8D}" name="Ink" dataDxfId="38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37" dataDxfId="36">
  <autoFilter ref="S1:T4" xr:uid="{A0A7022A-2C20-43C3-AA8D-7A4D11FC446B}"/>
  <tableColumns count="2">
    <tableColumn id="1" xr3:uid="{012E7603-7A8C-46AD-914C-FAE7D12FAF3F}" name="Adhesive" dataDxfId="35"/>
    <tableColumn id="2" xr3:uid="{4325B70E-CBBC-4618-9B76-FCD61F8B754A}" name="Packaging" dataDxfId="34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33" tableBorderDxfId="32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31">
  <autoFilter ref="M1:M6" xr:uid="{0ACB9144-FE8F-4434-B61E-D494EC9E3ABC}"/>
  <tableColumns count="1">
    <tableColumn id="1" xr3:uid="{031412D9-180B-4257-B711-44F88C9C965F}" name="Units" dataDxfId="3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0F96-DF34-426C-837C-16E80779BB61}">
  <sheetPr>
    <tabColor rgb="FFFFFF99"/>
  </sheetPr>
  <dimension ref="A1:Y123"/>
  <sheetViews>
    <sheetView tabSelected="1" topLeftCell="A8" zoomScale="80" zoomScaleNormal="80" workbookViewId="0">
      <selection activeCell="N20" sqref="N20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19" t="s">
        <v>153</v>
      </c>
      <c r="B1" s="319"/>
      <c r="C1" s="319"/>
      <c r="D1" s="319"/>
      <c r="E1" s="319"/>
      <c r="F1" s="319"/>
      <c r="G1" s="319"/>
      <c r="H1" s="319"/>
      <c r="I1" s="319"/>
      <c r="J1" s="319"/>
      <c r="K1" s="319"/>
      <c r="L1" s="319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20" t="s">
        <v>50</v>
      </c>
      <c r="B3" s="320"/>
      <c r="C3" s="321" t="s">
        <v>130</v>
      </c>
      <c r="D3" s="321"/>
      <c r="E3" s="321"/>
      <c r="F3" s="9"/>
      <c r="G3" s="320" t="s">
        <v>56</v>
      </c>
      <c r="H3" s="320"/>
      <c r="I3" s="321" t="s">
        <v>129</v>
      </c>
      <c r="J3" s="321"/>
      <c r="K3" s="321"/>
      <c r="L3" s="321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20" t="s">
        <v>51</v>
      </c>
      <c r="B5" s="320"/>
      <c r="C5" s="322" t="s">
        <v>0</v>
      </c>
      <c r="D5" s="322"/>
      <c r="E5" s="322"/>
      <c r="F5" s="9"/>
      <c r="G5" s="320" t="s">
        <v>53</v>
      </c>
      <c r="H5" s="320"/>
      <c r="I5" s="323">
        <v>10000</v>
      </c>
      <c r="J5" s="323"/>
      <c r="K5" s="322" t="s">
        <v>2</v>
      </c>
      <c r="L5" s="322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13" t="s">
        <v>54</v>
      </c>
      <c r="B9" s="313"/>
      <c r="C9" s="313"/>
      <c r="O9" s="20"/>
      <c r="P9" s="20"/>
    </row>
    <row r="10" spans="1:18" ht="15.6" x14ac:dyDescent="0.3">
      <c r="A10" s="313" t="s">
        <v>55</v>
      </c>
      <c r="B10" s="313"/>
      <c r="C10" s="313"/>
      <c r="N10" s="20"/>
      <c r="O10" s="314"/>
      <c r="P10" s="314"/>
      <c r="Q10" s="44"/>
    </row>
    <row r="11" spans="1:18" ht="15" thickBot="1" x14ac:dyDescent="0.35"/>
    <row r="12" spans="1:18" ht="15" thickBot="1" x14ac:dyDescent="0.35">
      <c r="A12" s="315" t="s">
        <v>67</v>
      </c>
      <c r="B12" s="316"/>
      <c r="C12" s="317"/>
      <c r="E12" s="2"/>
      <c r="F12" s="2"/>
      <c r="G12" s="2"/>
      <c r="I12" s="318"/>
      <c r="J12" s="318"/>
      <c r="K12" s="318"/>
      <c r="M12" s="318"/>
      <c r="N12" s="318"/>
    </row>
    <row r="13" spans="1:18" x14ac:dyDescent="0.3">
      <c r="A13" s="311" t="s">
        <v>8</v>
      </c>
      <c r="B13" s="312"/>
      <c r="C13" s="135">
        <v>250</v>
      </c>
      <c r="E13" s="306"/>
      <c r="F13" s="306"/>
      <c r="G13" s="21"/>
      <c r="I13" s="306"/>
      <c r="J13" s="306"/>
      <c r="K13" s="21"/>
    </row>
    <row r="14" spans="1:18" x14ac:dyDescent="0.3">
      <c r="A14" s="309" t="s">
        <v>9</v>
      </c>
      <c r="B14" s="310"/>
      <c r="C14" s="30">
        <v>100</v>
      </c>
      <c r="E14" s="306"/>
      <c r="F14" s="306"/>
      <c r="G14" s="21"/>
      <c r="I14" s="306"/>
      <c r="J14" s="306"/>
      <c r="K14" s="21"/>
      <c r="M14" s="306"/>
      <c r="N14" s="306"/>
      <c r="O14" s="21"/>
      <c r="Q14" s="21"/>
    </row>
    <row r="15" spans="1:18" x14ac:dyDescent="0.3">
      <c r="A15" s="309" t="s">
        <v>6</v>
      </c>
      <c r="B15" s="310"/>
      <c r="C15" s="31">
        <v>0</v>
      </c>
      <c r="E15" s="306"/>
      <c r="F15" s="306"/>
      <c r="G15" s="21"/>
      <c r="I15" s="4"/>
      <c r="J15" s="4"/>
      <c r="K15" s="131"/>
      <c r="M15" s="306"/>
      <c r="N15" s="306"/>
      <c r="O15" s="21"/>
      <c r="Q15" s="21"/>
    </row>
    <row r="16" spans="1:18" x14ac:dyDescent="0.3">
      <c r="A16" s="309" t="s">
        <v>10</v>
      </c>
      <c r="B16" s="310"/>
      <c r="C16" s="136">
        <v>1</v>
      </c>
      <c r="E16" s="4"/>
      <c r="F16" s="4"/>
      <c r="G16" s="131"/>
      <c r="I16" s="306"/>
      <c r="J16" s="306"/>
      <c r="K16" s="6"/>
      <c r="M16" s="306"/>
      <c r="N16" s="306"/>
    </row>
    <row r="17" spans="1:14" ht="15" thickBot="1" x14ac:dyDescent="0.35">
      <c r="A17" s="304" t="s">
        <v>7</v>
      </c>
      <c r="B17" s="305"/>
      <c r="C17" s="32">
        <v>0</v>
      </c>
      <c r="E17" s="306"/>
      <c r="F17" s="306"/>
      <c r="G17" s="6"/>
      <c r="M17" s="306"/>
      <c r="N17" s="306"/>
    </row>
    <row r="18" spans="1:14" x14ac:dyDescent="0.3">
      <c r="L18">
        <f>1000/L19</f>
        <v>10.656436487638533</v>
      </c>
      <c r="M18" s="306"/>
      <c r="N18" s="306"/>
    </row>
    <row r="19" spans="1:14" x14ac:dyDescent="0.3">
      <c r="L19">
        <f>F25*G25</f>
        <v>93.84</v>
      </c>
      <c r="M19" s="267"/>
      <c r="N19" s="267"/>
    </row>
    <row r="20" spans="1:14" x14ac:dyDescent="0.3">
      <c r="L20">
        <f>L19/1000</f>
        <v>9.3840000000000007E-2</v>
      </c>
      <c r="M20" s="267"/>
      <c r="N20" s="267"/>
    </row>
    <row r="21" spans="1:14" x14ac:dyDescent="0.3">
      <c r="C21" s="307"/>
      <c r="D21" s="53"/>
      <c r="E21" s="307"/>
      <c r="F21" s="307"/>
      <c r="G21" s="307"/>
      <c r="H21" s="307"/>
    </row>
    <row r="22" spans="1:14" x14ac:dyDescent="0.3">
      <c r="C22" s="307"/>
      <c r="D22" s="53"/>
      <c r="E22" s="307"/>
      <c r="F22" s="307"/>
      <c r="G22" s="307"/>
      <c r="H22" s="307"/>
    </row>
    <row r="23" spans="1:14" ht="15" thickBot="1" x14ac:dyDescent="0.35">
      <c r="C23" s="308"/>
      <c r="D23" s="53"/>
      <c r="E23" s="308"/>
      <c r="F23" s="308"/>
      <c r="G23" s="308"/>
      <c r="H23" s="308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119</v>
      </c>
      <c r="C25" s="173">
        <f>VLOOKUP(B25,Material[],3,FALSE)</f>
        <v>1</v>
      </c>
      <c r="D25" s="174">
        <v>60</v>
      </c>
      <c r="E25" s="175">
        <f>VLOOKUP(B25,Material[],2,FALSE)</f>
        <v>0.92</v>
      </c>
      <c r="F25" s="175">
        <f>IF(A25="Substrate",D25*E25,C25*D25)</f>
        <v>55.2</v>
      </c>
      <c r="G25" s="176">
        <v>1.7</v>
      </c>
      <c r="H25" s="177">
        <v>0</v>
      </c>
      <c r="I25" s="178">
        <f>(IF(A25="Substrate",(F25*G25)/1000,(D25*G25)/1000))*(1+table1713[[#This Row],[Waste
%]])</f>
        <v>9.3840000000000007E-2</v>
      </c>
      <c r="J25" s="179">
        <f>IF(A25="Substrate",(($I$36*F25)/$B$37)*(1+H25),(($I$36*D25)/$B$37)*(1+H25))</f>
        <v>9651.1932861264104</v>
      </c>
      <c r="K25" s="180">
        <f>table1713[[#This Row],[Total GSM]]/$B$37</f>
        <v>0.96511932861264105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5.7</v>
      </c>
      <c r="E26" s="175">
        <f>VLOOKUP(B26,Material[],2,FALSE)</f>
        <v>1</v>
      </c>
      <c r="F26" s="175">
        <f>IF(A26="Substrate",D26*E26,C26*D26)</f>
        <v>1.9949999999999999</v>
      </c>
      <c r="G26" s="176">
        <f>VLOOKUP(B26,Material[],4,FALSE)</f>
        <v>4.5999999999999996</v>
      </c>
      <c r="H26" s="177">
        <v>0</v>
      </c>
      <c r="I26" s="178">
        <f>(IF(A26="Substrate",(F26*G26)/1000,(D26*G26)/1000))*(1+table1713[[#This Row],[Waste
%]])</f>
        <v>2.622E-2</v>
      </c>
      <c r="J26" s="179">
        <f>IF(A26="Substrate",(($I$36*F26)/$B$37)*(1+H26),(($I$36*D26)/$B$37)*(1+H26))</f>
        <v>996.59061106740103</v>
      </c>
      <c r="K26" s="180">
        <f>table1713[[#This Row],[Total GSM]]/$B$37</f>
        <v>3.4880671387359036E-2</v>
      </c>
      <c r="M26" s="101"/>
    </row>
    <row r="27" spans="1:14" x14ac:dyDescent="0.3">
      <c r="A27" s="172"/>
      <c r="B27" s="172"/>
      <c r="C27" s="173"/>
      <c r="D27" s="174"/>
      <c r="E27" s="175"/>
      <c r="F27" s="175"/>
      <c r="G27" s="176"/>
      <c r="H27" s="177"/>
      <c r="I27" s="178"/>
      <c r="J27" s="179"/>
      <c r="K27" s="180"/>
    </row>
    <row r="28" spans="1:14" x14ac:dyDescent="0.3">
      <c r="A28" s="172"/>
      <c r="B28" s="172"/>
      <c r="C28" s="173"/>
      <c r="D28" s="174"/>
      <c r="E28" s="175"/>
      <c r="F28" s="175"/>
      <c r="G28" s="176"/>
      <c r="H28" s="177"/>
      <c r="I28" s="178"/>
      <c r="J28" s="179"/>
      <c r="K28" s="180"/>
    </row>
    <row r="29" spans="1:14" ht="15" thickBot="1" x14ac:dyDescent="0.35">
      <c r="A29" s="165"/>
      <c r="B29" s="172"/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7" t="s">
        <v>38</v>
      </c>
      <c r="B31" s="298"/>
      <c r="C31" s="298"/>
      <c r="D31" s="298"/>
      <c r="E31" s="60">
        <v>4.1666666666666664E-2</v>
      </c>
      <c r="F31" s="65">
        <v>1</v>
      </c>
      <c r="G31" s="61">
        <f>VLOOKUP("Solvent Mix",Material[],4,FALSE)</f>
        <v>1.5</v>
      </c>
      <c r="H31" s="62"/>
      <c r="I31" s="63">
        <f>((SUMIFS(table1713[Total GSM],table1713[Type],"ink")+SUMIFS(table1713[Total GSM],table1713[Material],"Solvent Base"))/$F$31)*G31/1000</f>
        <v>2.9924999999999995E-3</v>
      </c>
      <c r="J31" s="125">
        <f>(SUMIFS(table1713[Est.
Required Kgs],table1713[Type], "Ink") + SUMIFS(table1713[Est.
Required Kgs],table1713[Material], "Solvent Base"))*$F$31</f>
        <v>996.59061106740103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A34" s="2"/>
      <c r="B34" s="2"/>
      <c r="C34" s="11"/>
    </row>
    <row r="35" spans="1:13" x14ac:dyDescent="0.3">
      <c r="A35" s="273" t="s">
        <v>40</v>
      </c>
      <c r="B35" s="36">
        <f>B37/B36</f>
        <v>0.92257440116138401</v>
      </c>
      <c r="C35" s="299" t="s">
        <v>66</v>
      </c>
      <c r="D35" s="299"/>
      <c r="E35" s="134">
        <f>IF(C5="Roll", (1000/(C13*C14*B37*0.001*0.001))*C16, IF(C5="Sleeve", (1000/(G14*G15*B37*0.001*0.001))*1, IF(C5="Bag or Pouch", (1000/(K14*K13*B37*0.001*0.001))*1, "")))</f>
        <v>699.36183232800067</v>
      </c>
      <c r="F35" s="299" t="s">
        <v>65</v>
      </c>
      <c r="G35" s="299"/>
      <c r="H35" s="299"/>
      <c r="I35">
        <f>IF(C5="Roll", ((C13*C17)+C15), IF(C5="Sleeve", ((G14*G17)+G16), IF(C5="Bag or Pouch", ((K14*K16)+K15), "")))</f>
        <v>0</v>
      </c>
    </row>
    <row r="36" spans="1:13" x14ac:dyDescent="0.3">
      <c r="A36" s="273" t="s">
        <v>82</v>
      </c>
      <c r="B36" s="37">
        <f>SUMIFS(table1713[Micron],table1713[Type],"substrate")+SUMIFS(table1713[Total GSM],table1713[Type],"Ink")+SUMIFS(table1713[Total GSM],table1713[Type],"Adhesive")</f>
        <v>61.994999999999997</v>
      </c>
      <c r="C36" s="299" t="s">
        <v>59</v>
      </c>
      <c r="D36" s="299"/>
      <c r="E36" s="15">
        <f>1000/E35</f>
        <v>1.429875</v>
      </c>
      <c r="F36" s="299" t="s">
        <v>88</v>
      </c>
      <c r="G36" s="299"/>
      <c r="H36" s="299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73" t="s">
        <v>15</v>
      </c>
      <c r="B37" s="37">
        <f>SUM(F25:F30)</f>
        <v>57.195</v>
      </c>
      <c r="C37" s="300" t="s">
        <v>60</v>
      </c>
      <c r="D37" s="300"/>
      <c r="E37" s="15">
        <f>1000/B37</f>
        <v>17.484045808200019</v>
      </c>
      <c r="F37" s="299" t="s">
        <v>89</v>
      </c>
      <c r="G37" s="299"/>
      <c r="H37" s="299"/>
      <c r="I37" s="38">
        <f>(I36*1000)/E36/1000</f>
        <v>6993.6183232800067</v>
      </c>
    </row>
    <row r="38" spans="1:13" x14ac:dyDescent="0.3">
      <c r="A38" s="273" t="s">
        <v>83</v>
      </c>
      <c r="B38" s="16">
        <f>SUM(I25:I30)+I31</f>
        <v>0.1230525</v>
      </c>
      <c r="C38" s="299" t="s">
        <v>86</v>
      </c>
      <c r="D38" s="299"/>
      <c r="E38" s="15" t="e">
        <f>(E37/I35)*1000</f>
        <v>#DIV/0!</v>
      </c>
      <c r="F38" s="299" t="s">
        <v>135</v>
      </c>
      <c r="G38" s="299"/>
      <c r="H38" s="299"/>
      <c r="I38" s="38" t="e">
        <f>I36*E38</f>
        <v>#DIV/0!</v>
      </c>
    </row>
    <row r="39" spans="1:13" x14ac:dyDescent="0.3">
      <c r="C39" s="299" t="s">
        <v>151</v>
      </c>
      <c r="D39" s="299"/>
      <c r="E39" s="15">
        <f>IF(C5="Roll", ((E37/C13)*1000), IF(C5="Sleeve", ((E37/G14)*1000), IF(C5="Bag or Pouch", ((E37/K13)*1000), "")))</f>
        <v>69.936183232800076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01" t="s">
        <v>92</v>
      </c>
      <c r="B44" s="302"/>
      <c r="C44" s="303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86" t="s">
        <v>62</v>
      </c>
      <c r="B46" s="286"/>
      <c r="C46" s="286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86" t="s">
        <v>63</v>
      </c>
      <c r="B47" s="286"/>
      <c r="C47" s="286"/>
      <c r="D47" s="127">
        <f>IF(C5="Roll",(((D46/2)^2-(D44/2)^2)*PI()*C13*B35/1000000),IF(C5="Sleeve",(((D46/2)^2-(D44/2)^2)*PI()*G14*B35/1000000),IF(C5="Bag or Pouch",(((D46/2)^2-(D44/2)^2)*PI()*K13*B35/1000000))))</f>
        <v>59.60173029162047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86" t="s">
        <v>48</v>
      </c>
      <c r="B48" s="286"/>
      <c r="C48" s="286"/>
      <c r="D48" s="128">
        <f>IF(C5="Roll",((D47*1000/B35)/((B36/10000)*(C13/10))/100),IF(C5="Sleeve",((D47*1000/B35)/((B36/10000)*(G14/10))/100),IF(C5="Bag or Pouch",((D47*1000/B35)/((B36/10000)*(K13/10))/100))))</f>
        <v>4168.3175306666999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86" t="s">
        <v>85</v>
      </c>
      <c r="B49" s="286"/>
      <c r="C49" s="286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86" t="s">
        <v>64</v>
      </c>
      <c r="B50" s="286"/>
      <c r="C50" s="286"/>
      <c r="D50" s="98">
        <f>(D47*E35)</f>
        <v>41683.175306666992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86" t="s">
        <v>93</v>
      </c>
      <c r="B52" s="286"/>
      <c r="C52" s="286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86" t="s">
        <v>49</v>
      </c>
      <c r="B53" s="286"/>
      <c r="C53" s="28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662.93579768320956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(D60+(SUMIFS(table1713[Est.
Required Kgs], table1713[Material], "LDPE Transparent") + SUMIFS(table1713[Est.
Required Kgs], table1713[Material], "LDPE White"))/C60), "")</f>
        <v>14.787418980180586</v>
      </c>
      <c r="F60" s="204">
        <v>300</v>
      </c>
      <c r="G60" s="207">
        <f>IFERROR(F60*E60,"")</f>
        <v>4436.2256940541756</v>
      </c>
      <c r="H60" s="287">
        <f>SUMIF($A$60:$A$69,"true",$G$60:$G$69)</f>
        <v>4436.2256940541756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 t="e">
        <f t="shared" ref="E61:E66" si="0">IF(A61=TRUE, D61+(OQM/C61/60),"")</f>
        <v>#DIV/0!</v>
      </c>
      <c r="F61" s="205">
        <v>300</v>
      </c>
      <c r="G61" s="208" t="str">
        <f t="shared" ref="G61:G69" si="1">IFERROR(F61*E61,"")</f>
        <v/>
      </c>
      <c r="H61" s="288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 t="e">
        <f t="shared" si="0"/>
        <v>#DIV/0!</v>
      </c>
      <c r="F62" s="205">
        <v>50</v>
      </c>
      <c r="G62" s="208" t="str">
        <f t="shared" si="1"/>
        <v/>
      </c>
      <c r="H62" s="288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 t="e">
        <f t="shared" si="0"/>
        <v>#DIV/0!</v>
      </c>
      <c r="F63" s="205">
        <v>100</v>
      </c>
      <c r="G63" s="208" t="str">
        <f t="shared" si="1"/>
        <v/>
      </c>
      <c r="H63" s="288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 t="e">
        <f t="shared" si="0"/>
        <v>#DIV/0!</v>
      </c>
      <c r="F64" s="205">
        <v>100</v>
      </c>
      <c r="G64" s="208" t="str">
        <f t="shared" si="1"/>
        <v/>
      </c>
      <c r="H64" s="288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 t="e">
        <f t="shared" si="0"/>
        <v>#DIV/0!</v>
      </c>
      <c r="F65" s="205">
        <v>100</v>
      </c>
      <c r="G65" s="208" t="str">
        <f t="shared" si="1"/>
        <v/>
      </c>
      <c r="H65" s="288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 t="e">
        <f t="shared" si="0"/>
        <v>#DIV/0!</v>
      </c>
      <c r="F66" s="205">
        <v>50</v>
      </c>
      <c r="G66" s="208" t="str">
        <f t="shared" si="1"/>
        <v/>
      </c>
      <c r="H66" s="288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1"/>
        <v>0</v>
      </c>
      <c r="H67" s="288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1"/>
        <v>0</v>
      </c>
      <c r="H68" s="288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1"/>
        <v>0</v>
      </c>
      <c r="H69" s="289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0.44362256940541756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90"/>
      <c r="C73" s="291" t="s">
        <v>41</v>
      </c>
      <c r="D73" s="80" t="s">
        <v>91</v>
      </c>
      <c r="E73" s="293" t="s">
        <v>42</v>
      </c>
      <c r="F73" s="295" t="s">
        <v>43</v>
      </c>
      <c r="G73" s="295" t="s">
        <v>107</v>
      </c>
      <c r="H73" s="284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90"/>
      <c r="C74" s="292"/>
      <c r="D74" s="181">
        <v>0.3</v>
      </c>
      <c r="E74" s="294"/>
      <c r="F74" s="296"/>
      <c r="G74" s="296"/>
      <c r="H74" s="285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2.1514555468135326</v>
      </c>
      <c r="D75" s="183">
        <f>C75*D74</f>
        <v>0.64543666404405975</v>
      </c>
      <c r="E75" s="184">
        <v>0.1</v>
      </c>
      <c r="F75" s="184">
        <v>0.2</v>
      </c>
      <c r="G75" s="185">
        <f>H70</f>
        <v>0.44362256940541756</v>
      </c>
      <c r="H75" s="186">
        <f>SUM(C75:G75)</f>
        <v>3.5405147802630101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3.0763125000000002</v>
      </c>
      <c r="D76" s="91">
        <f>(D75/$E$35)*1000</f>
        <v>0.92289374999999996</v>
      </c>
      <c r="E76" s="91">
        <f>(E75/$E$35)*1000</f>
        <v>0.14298750000000002</v>
      </c>
      <c r="F76" s="91">
        <f>(F75/$E$35)*1000</f>
        <v>0.28597500000000003</v>
      </c>
      <c r="G76" s="91">
        <f>(G75/$E$35)*1000</f>
        <v>0.63432482142857149</v>
      </c>
      <c r="H76" s="188">
        <f>SUM(C76:G76)</f>
        <v>5.0624935714285719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0.12305249999999998</v>
      </c>
      <c r="D77" s="92">
        <f t="shared" ref="D77:G77" si="2">(D75/$E$37)</f>
        <v>3.6915749999999997E-2</v>
      </c>
      <c r="E77" s="92">
        <f t="shared" si="2"/>
        <v>5.7194999999999998E-3</v>
      </c>
      <c r="F77" s="92">
        <f t="shared" si="2"/>
        <v>1.1439E-2</v>
      </c>
      <c r="G77" s="92">
        <f t="shared" si="2"/>
        <v>2.5372992857142854E-2</v>
      </c>
      <c r="H77" s="189">
        <f>SUM(C77:G77)</f>
        <v>0.20249974285714284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3.0763124999999995E-2</v>
      </c>
      <c r="D78" s="92">
        <f>(D75/$E$39)</f>
        <v>9.2289374999999993E-3</v>
      </c>
      <c r="E78" s="92">
        <f>(E75/$E$39)</f>
        <v>1.4298749999999999E-3</v>
      </c>
      <c r="F78" s="92">
        <f>(F75/$E$39)</f>
        <v>2.8597499999999999E-3</v>
      </c>
      <c r="G78" s="92">
        <f>(G75/$E$39)</f>
        <v>6.3432482142857134E-3</v>
      </c>
      <c r="H78" s="189">
        <f>SUM(C78:G78)</f>
        <v>5.062493571428571E-2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15.381562499999998</v>
      </c>
      <c r="D79" s="191">
        <f>D78*500</f>
        <v>4.6144687499999995</v>
      </c>
      <c r="E79" s="191">
        <f t="shared" ref="E79:G79" si="3">E78*500</f>
        <v>0.7149375</v>
      </c>
      <c r="F79" s="191">
        <f t="shared" si="3"/>
        <v>1.429875</v>
      </c>
      <c r="G79" s="191">
        <f t="shared" si="3"/>
        <v>3.1716241071428568</v>
      </c>
      <c r="H79" s="192">
        <f>SUM(C79:G79)</f>
        <v>25.312467857142856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78"/>
      <c r="I82" s="278"/>
      <c r="J82" s="278"/>
      <c r="K82" s="41"/>
      <c r="L82" s="41"/>
      <c r="M82" s="41"/>
      <c r="N82" s="41"/>
    </row>
    <row r="83" spans="1:25" ht="18" x14ac:dyDescent="0.35">
      <c r="A83" s="54"/>
      <c r="B83" s="279" t="s">
        <v>136</v>
      </c>
      <c r="C83" s="279"/>
      <c r="D83" s="279"/>
      <c r="E83" s="279"/>
      <c r="F83" s="279"/>
      <c r="G83" s="279"/>
      <c r="H83" s="279"/>
      <c r="I83" s="279"/>
      <c r="J83" s="279"/>
      <c r="K83" s="279"/>
      <c r="L83" s="279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80"/>
      <c r="I88" s="280"/>
      <c r="J88" s="213"/>
      <c r="K88" s="280"/>
      <c r="L88" s="280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4">IF(ISTEXT(B25), B25, "")</f>
        <v>LDPE Transparent</v>
      </c>
      <c r="C91" s="152">
        <v>1700</v>
      </c>
      <c r="D91" s="144">
        <f t="shared" ref="D91:D103" si="5">IF(B91&lt;&gt;"", G25, "")</f>
        <v>1.7</v>
      </c>
      <c r="E91" s="145">
        <f>IFERROR(D91*C91,"")</f>
        <v>2890</v>
      </c>
      <c r="F91" s="163">
        <f>IFERROR(E91/$E$105,"")</f>
        <v>0.43920972644376899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4"/>
        <v>All Colors</v>
      </c>
      <c r="C92" s="153">
        <v>150</v>
      </c>
      <c r="D92" s="142">
        <f t="shared" si="5"/>
        <v>4.5999999999999996</v>
      </c>
      <c r="E92" s="147">
        <f t="shared" ref="E92:E104" si="6">IFERROR(D92*C92,"")</f>
        <v>690</v>
      </c>
      <c r="F92" s="163">
        <f t="shared" ref="F92:F104" si="7">IFERROR(E92/$E$105,"")</f>
        <v>0.10486322188449848</v>
      </c>
      <c r="G92" s="10"/>
      <c r="M92" s="41"/>
      <c r="N92" s="41"/>
      <c r="O92" s="41"/>
      <c r="Q92" s="281" t="s">
        <v>159</v>
      </c>
      <c r="R92" s="281"/>
      <c r="S92" s="112">
        <f>H75</f>
        <v>3.5405147802630101</v>
      </c>
      <c r="T92" s="210" t="s">
        <v>162</v>
      </c>
    </row>
    <row r="93" spans="1:25" x14ac:dyDescent="0.3">
      <c r="B93" s="146" t="str">
        <f t="shared" si="4"/>
        <v/>
      </c>
      <c r="C93" s="153">
        <v>605</v>
      </c>
      <c r="D93" s="142" t="str">
        <f t="shared" si="5"/>
        <v/>
      </c>
      <c r="E93" s="147" t="str">
        <f t="shared" si="6"/>
        <v/>
      </c>
      <c r="F93" s="163" t="str">
        <f t="shared" si="7"/>
        <v/>
      </c>
      <c r="K93" s="2"/>
      <c r="L93" s="2"/>
    </row>
    <row r="94" spans="1:25" x14ac:dyDescent="0.3">
      <c r="A94" s="53"/>
      <c r="B94" s="146" t="str">
        <f t="shared" si="4"/>
        <v/>
      </c>
      <c r="C94" s="153">
        <v>9300</v>
      </c>
      <c r="D94" s="142" t="str">
        <f t="shared" si="5"/>
        <v/>
      </c>
      <c r="E94" s="147" t="str">
        <f t="shared" si="6"/>
        <v/>
      </c>
      <c r="F94" s="163" t="str">
        <f t="shared" si="7"/>
        <v/>
      </c>
      <c r="L94" s="43"/>
      <c r="R94" s="215" t="s">
        <v>45</v>
      </c>
      <c r="S94" s="216" t="s">
        <v>160</v>
      </c>
      <c r="T94" s="282" t="s">
        <v>148</v>
      </c>
      <c r="U94" s="283"/>
    </row>
    <row r="95" spans="1:25" x14ac:dyDescent="0.3">
      <c r="A95" s="53"/>
      <c r="B95" s="146" t="str">
        <f t="shared" si="4"/>
        <v/>
      </c>
      <c r="C95" s="153"/>
      <c r="D95" s="142" t="str">
        <f t="shared" si="5"/>
        <v/>
      </c>
      <c r="E95" s="147" t="str">
        <f t="shared" si="6"/>
        <v/>
      </c>
      <c r="F95" s="163" t="str">
        <f t="shared" si="7"/>
        <v/>
      </c>
      <c r="I95" s="3"/>
      <c r="Q95" s="212" t="s">
        <v>161</v>
      </c>
      <c r="R95" s="175">
        <f>C75+H70</f>
        <v>2.59507811621895</v>
      </c>
      <c r="S95" s="211">
        <f>R95/S92</f>
        <v>0.73296632757628888</v>
      </c>
      <c r="T95" s="274">
        <f>R96-R95</f>
        <v>-1.0493638305046642</v>
      </c>
      <c r="U95" s="276">
        <f>(R96-R95)/R95</f>
        <v>-0.40436695294305663</v>
      </c>
    </row>
    <row r="96" spans="1:25" x14ac:dyDescent="0.3">
      <c r="A96" s="53"/>
      <c r="B96" s="146" t="str">
        <f t="shared" si="4"/>
        <v/>
      </c>
      <c r="C96" s="153"/>
      <c r="D96" s="142" t="str">
        <f t="shared" si="5"/>
        <v/>
      </c>
      <c r="E96" s="147" t="str">
        <f t="shared" si="6"/>
        <v/>
      </c>
      <c r="F96" s="163" t="str">
        <f t="shared" si="7"/>
        <v/>
      </c>
      <c r="I96" s="3"/>
      <c r="Q96" s="212" t="s">
        <v>158</v>
      </c>
      <c r="R96" s="175">
        <f>E106+E122</f>
        <v>1.5457142857142858</v>
      </c>
      <c r="S96" s="211">
        <f>R96/S92</f>
        <v>0.43657896708440264</v>
      </c>
      <c r="T96" s="275"/>
      <c r="U96" s="276"/>
    </row>
    <row r="97" spans="1:19" x14ac:dyDescent="0.3">
      <c r="A97" s="53"/>
      <c r="B97" s="146" t="str">
        <f t="shared" si="4"/>
        <v/>
      </c>
      <c r="C97" s="153"/>
      <c r="D97" s="142" t="str">
        <f t="shared" si="5"/>
        <v/>
      </c>
      <c r="E97" s="147" t="str">
        <f t="shared" si="6"/>
        <v/>
      </c>
      <c r="F97" s="163" t="str">
        <f t="shared" si="7"/>
        <v/>
      </c>
      <c r="Q97" s="219" t="s">
        <v>156</v>
      </c>
      <c r="R97" s="217">
        <f>S92-R95</f>
        <v>0.94543666404406013</v>
      </c>
      <c r="S97" s="218">
        <f>R97/S92</f>
        <v>0.26703367242371112</v>
      </c>
    </row>
    <row r="98" spans="1:19" x14ac:dyDescent="0.3">
      <c r="A98" s="53"/>
      <c r="B98" s="146" t="str">
        <f t="shared" si="4"/>
        <v/>
      </c>
      <c r="C98" s="153"/>
      <c r="D98" s="142" t="str">
        <f t="shared" si="5"/>
        <v/>
      </c>
      <c r="E98" s="147" t="str">
        <f t="shared" si="6"/>
        <v/>
      </c>
      <c r="F98" s="163" t="str">
        <f t="shared" si="7"/>
        <v/>
      </c>
      <c r="Q98" s="212" t="s">
        <v>157</v>
      </c>
      <c r="R98" s="175">
        <f>S92-R96</f>
        <v>1.9948004945487243</v>
      </c>
      <c r="S98" s="211">
        <f>R98/S92</f>
        <v>0.56342103291559731</v>
      </c>
    </row>
    <row r="99" spans="1:19" x14ac:dyDescent="0.3">
      <c r="A99" s="53"/>
      <c r="B99" s="146" t="str">
        <f t="shared" si="4"/>
        <v/>
      </c>
      <c r="C99" s="153"/>
      <c r="D99" s="142" t="str">
        <f t="shared" si="5"/>
        <v/>
      </c>
      <c r="E99" s="147" t="str">
        <f t="shared" si="6"/>
        <v/>
      </c>
      <c r="F99" s="163" t="str">
        <f t="shared" si="7"/>
        <v/>
      </c>
    </row>
    <row r="100" spans="1:19" x14ac:dyDescent="0.3">
      <c r="A100" s="53"/>
      <c r="B100" s="146" t="str">
        <f t="shared" si="4"/>
        <v/>
      </c>
      <c r="C100" s="153"/>
      <c r="D100" s="142" t="str">
        <f t="shared" si="5"/>
        <v/>
      </c>
      <c r="E100" s="147" t="str">
        <f t="shared" si="6"/>
        <v/>
      </c>
      <c r="F100" s="163" t="str">
        <f t="shared" si="7"/>
        <v/>
      </c>
    </row>
    <row r="101" spans="1:19" x14ac:dyDescent="0.3">
      <c r="A101" s="53"/>
      <c r="B101" s="146" t="str">
        <f t="shared" si="4"/>
        <v/>
      </c>
      <c r="C101" s="153"/>
      <c r="D101" s="142" t="str">
        <f t="shared" si="5"/>
        <v/>
      </c>
      <c r="E101" s="147" t="str">
        <f t="shared" si="6"/>
        <v/>
      </c>
      <c r="F101" s="163" t="str">
        <f t="shared" si="7"/>
        <v/>
      </c>
    </row>
    <row r="102" spans="1:19" x14ac:dyDescent="0.3">
      <c r="A102" s="53"/>
      <c r="B102" s="146" t="str">
        <f t="shared" si="4"/>
        <v/>
      </c>
      <c r="C102" s="153"/>
      <c r="D102" s="142" t="str">
        <f t="shared" si="5"/>
        <v/>
      </c>
      <c r="E102" s="147" t="str">
        <f t="shared" si="6"/>
        <v/>
      </c>
      <c r="F102" s="163" t="str">
        <f t="shared" si="7"/>
        <v/>
      </c>
    </row>
    <row r="103" spans="1:19" x14ac:dyDescent="0.3">
      <c r="A103" s="53"/>
      <c r="B103" s="146" t="str">
        <f t="shared" si="4"/>
        <v/>
      </c>
      <c r="C103" s="153"/>
      <c r="D103" s="142" t="str">
        <f t="shared" si="5"/>
        <v/>
      </c>
      <c r="E103" s="147" t="str">
        <f t="shared" si="6"/>
        <v/>
      </c>
      <c r="F103" s="163" t="str">
        <f t="shared" si="7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6"/>
        <v>3000</v>
      </c>
      <c r="F104" s="163">
        <f t="shared" si="7"/>
        <v>0.45592705167173253</v>
      </c>
    </row>
    <row r="105" spans="1:19" x14ac:dyDescent="0.3">
      <c r="B105" s="41"/>
      <c r="E105" s="141">
        <f>SUM(E91:E104)</f>
        <v>6580</v>
      </c>
    </row>
    <row r="106" spans="1:19" x14ac:dyDescent="0.3">
      <c r="B106" s="41"/>
      <c r="D106" s="87" t="s">
        <v>141</v>
      </c>
      <c r="E106" s="140">
        <f>E105/C85</f>
        <v>0.62666666666666671</v>
      </c>
    </row>
    <row r="107" spans="1:19" x14ac:dyDescent="0.3">
      <c r="B107" s="41"/>
      <c r="D107" s="87" t="s">
        <v>142</v>
      </c>
      <c r="E107" s="159">
        <f>(E106-C75)/C75</f>
        <v>-0.70872432498323878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8">IF(A60=TRUE, B60, "")</f>
        <v>Extrusion</v>
      </c>
      <c r="C111" s="116">
        <v>13</v>
      </c>
      <c r="D111" s="158">
        <f t="shared" ref="D111:D120" si="9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8"/>
        <v>Printing</v>
      </c>
      <c r="C112" s="112">
        <v>7</v>
      </c>
      <c r="D112" s="160">
        <f t="shared" si="9"/>
        <v>300</v>
      </c>
      <c r="E112" s="147">
        <f t="shared" ref="E112:E120" si="10">IFERROR(D112*C112,"")</f>
        <v>2100</v>
      </c>
      <c r="F112" s="163">
        <f t="shared" ref="F112:F120" si="11">IFERROR(E112/$E$121,"")</f>
        <v>0.21761658031088082</v>
      </c>
    </row>
    <row r="113" spans="2:6" x14ac:dyDescent="0.3">
      <c r="B113" s="146" t="str">
        <f t="shared" si="8"/>
        <v>Rewinding</v>
      </c>
      <c r="C113" s="112">
        <v>4</v>
      </c>
      <c r="D113" s="160">
        <f t="shared" si="9"/>
        <v>50</v>
      </c>
      <c r="E113" s="147">
        <f t="shared" si="10"/>
        <v>200</v>
      </c>
      <c r="F113" s="163">
        <f t="shared" si="11"/>
        <v>2.072538860103627E-2</v>
      </c>
    </row>
    <row r="114" spans="2:6" x14ac:dyDescent="0.3">
      <c r="B114" s="146" t="str">
        <f t="shared" si="8"/>
        <v>Lamination 1</v>
      </c>
      <c r="C114" s="112">
        <v>10</v>
      </c>
      <c r="D114" s="160">
        <f t="shared" si="9"/>
        <v>100</v>
      </c>
      <c r="E114" s="147">
        <f t="shared" si="10"/>
        <v>1000</v>
      </c>
      <c r="F114" s="163">
        <f t="shared" si="11"/>
        <v>0.10362694300518134</v>
      </c>
    </row>
    <row r="115" spans="2:6" x14ac:dyDescent="0.3">
      <c r="B115" s="146" t="str">
        <f t="shared" si="8"/>
        <v>Lamination 2</v>
      </c>
      <c r="C115" s="112">
        <v>10</v>
      </c>
      <c r="D115" s="160">
        <f t="shared" si="9"/>
        <v>100</v>
      </c>
      <c r="E115" s="147">
        <f t="shared" si="10"/>
        <v>1000</v>
      </c>
      <c r="F115" s="163">
        <f t="shared" si="11"/>
        <v>0.10362694300518134</v>
      </c>
    </row>
    <row r="116" spans="2:6" x14ac:dyDescent="0.3">
      <c r="B116" s="146" t="str">
        <f t="shared" si="8"/>
        <v>Lamination 3</v>
      </c>
      <c r="C116" s="112">
        <v>10</v>
      </c>
      <c r="D116" s="160">
        <f t="shared" si="9"/>
        <v>100</v>
      </c>
      <c r="E116" s="147">
        <f t="shared" si="10"/>
        <v>1000</v>
      </c>
      <c r="F116" s="163">
        <f t="shared" si="11"/>
        <v>0.10362694300518134</v>
      </c>
    </row>
    <row r="117" spans="2:6" x14ac:dyDescent="0.3">
      <c r="B117" s="146" t="str">
        <f t="shared" si="8"/>
        <v>Slitting</v>
      </c>
      <c r="C117" s="112">
        <v>9</v>
      </c>
      <c r="D117" s="160">
        <f t="shared" si="9"/>
        <v>50</v>
      </c>
      <c r="E117" s="147">
        <f t="shared" si="10"/>
        <v>450</v>
      </c>
      <c r="F117" s="163">
        <f t="shared" si="11"/>
        <v>4.6632124352331605E-2</v>
      </c>
    </row>
    <row r="118" spans="2:6" x14ac:dyDescent="0.3">
      <c r="B118" s="146" t="str">
        <f t="shared" si="8"/>
        <v/>
      </c>
      <c r="C118" s="112">
        <v>0</v>
      </c>
      <c r="D118" s="160" t="str">
        <f t="shared" si="9"/>
        <v/>
      </c>
      <c r="E118" s="147" t="str">
        <f t="shared" si="10"/>
        <v/>
      </c>
      <c r="F118" s="163" t="str">
        <f t="shared" si="11"/>
        <v/>
      </c>
    </row>
    <row r="119" spans="2:6" x14ac:dyDescent="0.3">
      <c r="B119" s="146" t="str">
        <f t="shared" si="8"/>
        <v/>
      </c>
      <c r="C119" s="112">
        <v>0</v>
      </c>
      <c r="D119" s="160" t="str">
        <f t="shared" si="9"/>
        <v/>
      </c>
      <c r="E119" s="147" t="str">
        <f t="shared" si="10"/>
        <v/>
      </c>
      <c r="F119" s="163" t="str">
        <f t="shared" si="11"/>
        <v/>
      </c>
    </row>
    <row r="120" spans="2:6" ht="15" thickBot="1" x14ac:dyDescent="0.35">
      <c r="B120" s="148" t="str">
        <f t="shared" si="8"/>
        <v/>
      </c>
      <c r="C120" s="121">
        <v>0</v>
      </c>
      <c r="D120" s="161" t="str">
        <f t="shared" si="9"/>
        <v/>
      </c>
      <c r="E120" s="149" t="str">
        <f t="shared" si="10"/>
        <v/>
      </c>
      <c r="F120" s="163" t="str">
        <f t="shared" si="11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77" t="s">
        <v>145</v>
      </c>
      <c r="C122" s="277"/>
      <c r="D122" s="277"/>
      <c r="E122" s="140">
        <f>E121/C85</f>
        <v>0.919047619047619</v>
      </c>
    </row>
    <row r="123" spans="2:6" x14ac:dyDescent="0.3">
      <c r="B123" s="277" t="s">
        <v>142</v>
      </c>
      <c r="C123" s="277"/>
      <c r="D123" s="277"/>
      <c r="E123" s="159">
        <f>(E122-H70)/H70</f>
        <v>1.071688147605764</v>
      </c>
    </row>
  </sheetData>
  <mergeCells count="73"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O10:P10"/>
    <mergeCell ref="A12:C12"/>
    <mergeCell ref="I12:K12"/>
    <mergeCell ref="M12:N12"/>
    <mergeCell ref="A13:B13"/>
    <mergeCell ref="E13:F13"/>
    <mergeCell ref="I13:J13"/>
    <mergeCell ref="A14:B14"/>
    <mergeCell ref="E14:F14"/>
    <mergeCell ref="I14:J14"/>
    <mergeCell ref="M14:N14"/>
    <mergeCell ref="A15:B15"/>
    <mergeCell ref="E15:F15"/>
    <mergeCell ref="M15:N15"/>
    <mergeCell ref="A16:B16"/>
    <mergeCell ref="I16:J16"/>
    <mergeCell ref="M16:N16"/>
    <mergeCell ref="A17:B17"/>
    <mergeCell ref="E17:F17"/>
    <mergeCell ref="M17:N17"/>
    <mergeCell ref="M18:N18"/>
    <mergeCell ref="C21:C23"/>
    <mergeCell ref="E21:E23"/>
    <mergeCell ref="F21:F23"/>
    <mergeCell ref="G21:G23"/>
    <mergeCell ref="H21:H23"/>
    <mergeCell ref="A47:C47"/>
    <mergeCell ref="A31:D31"/>
    <mergeCell ref="C35:D35"/>
    <mergeCell ref="F35:H35"/>
    <mergeCell ref="C36:D36"/>
    <mergeCell ref="F36:H36"/>
    <mergeCell ref="C37:D37"/>
    <mergeCell ref="F37:H37"/>
    <mergeCell ref="C38:D38"/>
    <mergeCell ref="F38:H38"/>
    <mergeCell ref="C39:D39"/>
    <mergeCell ref="A44:C44"/>
    <mergeCell ref="A46:C46"/>
    <mergeCell ref="H73:H74"/>
    <mergeCell ref="A48:C48"/>
    <mergeCell ref="A49:C49"/>
    <mergeCell ref="A50:C50"/>
    <mergeCell ref="A52:C52"/>
    <mergeCell ref="A53:C53"/>
    <mergeCell ref="H60:H69"/>
    <mergeCell ref="B73:B74"/>
    <mergeCell ref="C73:C74"/>
    <mergeCell ref="E73:E74"/>
    <mergeCell ref="F73:F74"/>
    <mergeCell ref="G73:G74"/>
    <mergeCell ref="T95:T96"/>
    <mergeCell ref="U95:U96"/>
    <mergeCell ref="B122:D122"/>
    <mergeCell ref="B123:D123"/>
    <mergeCell ref="H82:J82"/>
    <mergeCell ref="B83:L83"/>
    <mergeCell ref="H88:I88"/>
    <mergeCell ref="K88:L88"/>
    <mergeCell ref="Q92:R92"/>
    <mergeCell ref="T94:U94"/>
  </mergeCells>
  <dataValidations count="3">
    <dataValidation type="list" allowBlank="1" showInputMessage="1" showErrorMessage="1" sqref="K5" xr:uid="{5C2F12C3-696A-4D06-9C34-8B4F07F5489F}">
      <formula1>Unit</formula1>
    </dataValidation>
    <dataValidation type="list" allowBlank="1" showInputMessage="1" showErrorMessage="1" sqref="A25:A30" xr:uid="{3A11E99D-4910-4668-AAA1-85A0C1259B62}">
      <formula1>Type</formula1>
    </dataValidation>
    <dataValidation type="list" allowBlank="1" showInputMessage="1" showErrorMessage="1" sqref="B25:B30" xr:uid="{705EF605-EB80-4FD9-B1AA-DC254FDA56F6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DB2464-BE33-402F-B625-1E68FC4DC688}">
          <x14:formula1>
            <xm:f>Data!$K$2:$K$4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243" customWidth="1"/>
    <col min="2" max="2" width="28.6640625" style="243" bestFit="1" customWidth="1"/>
    <col min="3" max="3" width="16.5546875" style="243" customWidth="1"/>
    <col min="4" max="4" width="30" style="243" customWidth="1"/>
    <col min="5" max="5" width="12" style="243" customWidth="1"/>
    <col min="6" max="6" width="16.44140625" style="243" customWidth="1"/>
    <col min="7" max="16384" width="8.6640625" style="243"/>
  </cols>
  <sheetData>
    <row r="1" spans="1:6" x14ac:dyDescent="0.3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3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3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3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3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3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3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3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3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3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3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3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3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3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3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3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3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3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3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3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3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3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3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3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3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3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3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3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3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3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3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3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3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3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3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3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3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3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3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3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3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3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3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3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3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3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244" t="s">
        <v>319</v>
      </c>
      <c r="E4" s="245"/>
      <c r="F4" s="245"/>
      <c r="G4" s="245"/>
    </row>
    <row r="5" spans="4:11" ht="15" x14ac:dyDescent="0.3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ht="15" x14ac:dyDescent="0.3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ht="15" x14ac:dyDescent="0.3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ht="15" x14ac:dyDescent="0.3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ht="15" x14ac:dyDescent="0.3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opLeftCell="A16" zoomScaleNormal="100" workbookViewId="0">
      <selection activeCell="I31" sqref="I3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19" t="s">
        <v>153</v>
      </c>
      <c r="B1" s="319"/>
      <c r="C1" s="319"/>
      <c r="D1" s="319"/>
      <c r="E1" s="319"/>
      <c r="F1" s="319"/>
      <c r="G1" s="319"/>
      <c r="H1" s="319"/>
      <c r="I1" s="319"/>
      <c r="J1" s="319"/>
      <c r="K1" s="319"/>
      <c r="L1" s="319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20" t="s">
        <v>50</v>
      </c>
      <c r="B3" s="320"/>
      <c r="C3" s="321" t="s">
        <v>130</v>
      </c>
      <c r="D3" s="321"/>
      <c r="E3" s="321"/>
      <c r="F3" s="9"/>
      <c r="G3" s="320" t="s">
        <v>56</v>
      </c>
      <c r="H3" s="320"/>
      <c r="I3" s="321" t="s">
        <v>129</v>
      </c>
      <c r="J3" s="321"/>
      <c r="K3" s="321"/>
      <c r="L3" s="321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20" t="s">
        <v>51</v>
      </c>
      <c r="B5" s="320"/>
      <c r="C5" s="322" t="s">
        <v>0</v>
      </c>
      <c r="D5" s="322"/>
      <c r="E5" s="322"/>
      <c r="F5" s="9"/>
      <c r="G5" s="320" t="s">
        <v>53</v>
      </c>
      <c r="H5" s="320"/>
      <c r="I5" s="323">
        <v>10000</v>
      </c>
      <c r="J5" s="323"/>
      <c r="K5" s="322" t="s">
        <v>2</v>
      </c>
      <c r="L5" s="322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13" t="s">
        <v>54</v>
      </c>
      <c r="B9" s="313"/>
      <c r="C9" s="313"/>
      <c r="O9" s="20"/>
      <c r="P9" s="20"/>
    </row>
    <row r="10" spans="1:18" ht="15.6" x14ac:dyDescent="0.3">
      <c r="A10" s="313" t="s">
        <v>55</v>
      </c>
      <c r="B10" s="313"/>
      <c r="C10" s="313"/>
      <c r="N10" s="20"/>
      <c r="O10" s="314"/>
      <c r="P10" s="314"/>
      <c r="Q10" s="44"/>
    </row>
    <row r="11" spans="1:18" ht="15" thickBot="1" x14ac:dyDescent="0.35"/>
    <row r="12" spans="1:18" ht="15" thickBot="1" x14ac:dyDescent="0.35">
      <c r="A12" s="315" t="s">
        <v>67</v>
      </c>
      <c r="B12" s="316"/>
      <c r="C12" s="317"/>
      <c r="E12" s="2"/>
      <c r="F12" s="2"/>
      <c r="G12" s="2"/>
      <c r="I12" s="318"/>
      <c r="J12" s="318"/>
      <c r="K12" s="318"/>
      <c r="M12" s="318"/>
      <c r="N12" s="318"/>
    </row>
    <row r="13" spans="1:18" x14ac:dyDescent="0.3">
      <c r="A13" s="311" t="s">
        <v>8</v>
      </c>
      <c r="B13" s="312"/>
      <c r="C13" s="135">
        <v>250</v>
      </c>
      <c r="E13" s="306"/>
      <c r="F13" s="306"/>
      <c r="G13" s="21"/>
      <c r="I13" s="306"/>
      <c r="J13" s="306"/>
      <c r="K13" s="21"/>
    </row>
    <row r="14" spans="1:18" x14ac:dyDescent="0.3">
      <c r="A14" s="309" t="s">
        <v>9</v>
      </c>
      <c r="B14" s="310"/>
      <c r="C14" s="30">
        <v>100</v>
      </c>
      <c r="E14" s="306"/>
      <c r="F14" s="306"/>
      <c r="G14" s="21"/>
      <c r="I14" s="306"/>
      <c r="J14" s="306"/>
      <c r="K14" s="21"/>
      <c r="M14" s="306"/>
      <c r="N14" s="306"/>
      <c r="O14" s="21"/>
      <c r="Q14" s="21"/>
    </row>
    <row r="15" spans="1:18" x14ac:dyDescent="0.3">
      <c r="A15" s="309" t="s">
        <v>6</v>
      </c>
      <c r="B15" s="310"/>
      <c r="C15" s="31">
        <v>20</v>
      </c>
      <c r="E15" s="306"/>
      <c r="F15" s="306"/>
      <c r="G15" s="21"/>
      <c r="I15" s="4"/>
      <c r="J15" s="4"/>
      <c r="K15" s="131"/>
      <c r="M15" s="306"/>
      <c r="N15" s="306"/>
      <c r="O15" s="21"/>
      <c r="Q15" s="21"/>
    </row>
    <row r="16" spans="1:18" x14ac:dyDescent="0.3">
      <c r="A16" s="309" t="s">
        <v>10</v>
      </c>
      <c r="B16" s="310"/>
      <c r="C16" s="136">
        <v>1</v>
      </c>
      <c r="E16" s="4"/>
      <c r="F16" s="4"/>
      <c r="G16" s="131"/>
      <c r="I16" s="306"/>
      <c r="J16" s="306"/>
      <c r="K16" s="6"/>
      <c r="M16" s="306"/>
      <c r="N16" s="306"/>
    </row>
    <row r="17" spans="1:14" ht="15" thickBot="1" x14ac:dyDescent="0.35">
      <c r="A17" s="304" t="s">
        <v>7</v>
      </c>
      <c r="B17" s="305"/>
      <c r="C17" s="32">
        <v>4</v>
      </c>
      <c r="E17" s="306"/>
      <c r="F17" s="306"/>
      <c r="G17" s="6"/>
      <c r="M17" s="306"/>
      <c r="N17" s="306"/>
    </row>
    <row r="18" spans="1:14" x14ac:dyDescent="0.3">
      <c r="M18" s="306"/>
      <c r="N18" s="306"/>
    </row>
    <row r="19" spans="1:14" x14ac:dyDescent="0.3">
      <c r="M19" s="267"/>
      <c r="N19" s="267"/>
    </row>
    <row r="20" spans="1:14" x14ac:dyDescent="0.3">
      <c r="M20" s="267"/>
      <c r="N20" s="267"/>
    </row>
    <row r="21" spans="1:14" x14ac:dyDescent="0.3">
      <c r="C21" s="307"/>
      <c r="D21" s="53"/>
      <c r="E21" s="307"/>
      <c r="F21" s="307"/>
      <c r="G21" s="307"/>
      <c r="H21" s="307"/>
    </row>
    <row r="22" spans="1:14" x14ac:dyDescent="0.3">
      <c r="C22" s="307"/>
      <c r="D22" s="53"/>
      <c r="E22" s="307"/>
      <c r="F22" s="307"/>
      <c r="G22" s="307"/>
      <c r="H22" s="307"/>
    </row>
    <row r="23" spans="1:14" ht="15" thickBot="1" x14ac:dyDescent="0.35">
      <c r="C23" s="308"/>
      <c r="D23" s="53"/>
      <c r="E23" s="308"/>
      <c r="F23" s="308"/>
      <c r="G23" s="308"/>
      <c r="H23" s="308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1598.6159169550172</v>
      </c>
      <c r="K25" s="180">
        <f>table17[[#This Row],[Total GSM]]/$B$37</f>
        <v>0.14532871972318337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(IF(A26="Substrate",(F26*G26)/1000,(D26*G26)/1000))*(1+table17[[#This Row],[Waste
%]])</f>
        <v>4.0480000000000002E-2</v>
      </c>
      <c r="J26" s="179">
        <f>IF(A26="Substrate",(($I$36*F26)/$B$37)*(1+H26),(($I$36*D26)/$B$37)*(1+H26))</f>
        <v>761.24567474048456</v>
      </c>
      <c r="K26" s="180">
        <f>table17[[#This Row],[Total GSM]]/$B$37</f>
        <v>2.4221453287197232E-2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ref="F27:F28" si="0">IF(A27="Substrate",D27*E27,C27*D27)</f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570.93425605536333</v>
      </c>
      <c r="K27" s="180">
        <f>table17[[#This Row],[Total GSM]]/$B$37</f>
        <v>2.5951557093425608E-2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8849.4809688581317</v>
      </c>
      <c r="K28" s="180">
        <f>table17[[#This Row],[Total GSM]]/$B$37</f>
        <v>0.80449826989619377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297" t="s">
        <v>38</v>
      </c>
      <c r="B31" s="298"/>
      <c r="C31" s="298"/>
      <c r="D31" s="298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5.7999999999999996E-3</v>
      </c>
      <c r="J31" s="125">
        <f>(SUMIFS(table17[Est.
Required Kgs],table17[Type], "Ink") + SUMIFS(table17[Est.
Required Kgs],table17[Material], "Solvent Base"))*$F$31</f>
        <v>1998.2698961937717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0.9813242784380305</v>
      </c>
      <c r="C35" s="299" t="s">
        <v>66</v>
      </c>
      <c r="D35" s="299"/>
      <c r="E35" s="134">
        <f>IF(C5="Roll", (1000/(C13*C14*B37*0.001*0.001))*C16, IF(C5="Sleeve", (1000/(G14*G15*B37*0.001*0.001))*1, IF(C5="Bag or Pouch", (1000/(K14*K13*B37*0.001*0.001))*1, "")))</f>
        <v>346.02076124567475</v>
      </c>
      <c r="F35" s="299" t="s">
        <v>65</v>
      </c>
      <c r="G35" s="299"/>
      <c r="H35" s="299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117.8</v>
      </c>
      <c r="C36" s="299" t="s">
        <v>59</v>
      </c>
      <c r="D36" s="299"/>
      <c r="E36" s="15">
        <f>1000/E35</f>
        <v>2.89</v>
      </c>
      <c r="F36" s="299" t="s">
        <v>88</v>
      </c>
      <c r="G36" s="299"/>
      <c r="H36" s="299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115.6</v>
      </c>
      <c r="C37" s="299" t="s">
        <v>60</v>
      </c>
      <c r="D37" s="299"/>
      <c r="E37" s="15">
        <f>1000/B37</f>
        <v>8.6505190311418687</v>
      </c>
      <c r="F37" s="299" t="s">
        <v>89</v>
      </c>
      <c r="G37" s="299"/>
      <c r="H37" s="299"/>
      <c r="I37" s="38">
        <f>(I36*1000)/E36/1000</f>
        <v>3460.2076124567475</v>
      </c>
    </row>
    <row r="38" spans="1:13" x14ac:dyDescent="0.3">
      <c r="A38" s="2" t="s">
        <v>83</v>
      </c>
      <c r="B38" s="16">
        <f>SUM(I25:I30)+I31</f>
        <v>0.22398500000000002</v>
      </c>
      <c r="C38" s="299" t="s">
        <v>86</v>
      </c>
      <c r="D38" s="299"/>
      <c r="E38" s="15">
        <f>(E37/I35)*1000</f>
        <v>8.4809010109234002</v>
      </c>
      <c r="F38" s="299" t="s">
        <v>135</v>
      </c>
      <c r="G38" s="299"/>
      <c r="H38" s="299"/>
      <c r="I38" s="38">
        <f>I36*E38</f>
        <v>84809.010109234005</v>
      </c>
    </row>
    <row r="39" spans="1:13" x14ac:dyDescent="0.3">
      <c r="C39" s="299" t="s">
        <v>151</v>
      </c>
      <c r="D39" s="299"/>
      <c r="E39" s="15">
        <f>IF(C5="Roll", ((E37/C13)*1000), IF(C5="Sleeve", ((E37/G14)*1000), IF(C5="Bag or Pouch", ((E37/K13)*1000), "")))</f>
        <v>34.602076124567475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01" t="s">
        <v>92</v>
      </c>
      <c r="B44" s="302"/>
      <c r="C44" s="303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86" t="s">
        <v>62</v>
      </c>
      <c r="B46" s="286"/>
      <c r="C46" s="286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86" t="s">
        <v>63</v>
      </c>
      <c r="B47" s="286"/>
      <c r="C47" s="286"/>
      <c r="D47" s="127">
        <f>IF(C5="Roll",(((D46/2)^2-(D44/2)^2)*PI()*C13*B35/1000000),IF(C5="Sleeve",(((D46/2)^2-(D44/2)^2)*PI()*G14*B35/1000000),IF(C5="Bag or Pouch",(((D46/2)^2-(D44/2)^2)*PI()*K13*B35/1000000))))</f>
        <v>63.397190403781075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86" t="s">
        <v>48</v>
      </c>
      <c r="B48" s="286"/>
      <c r="C48" s="286"/>
      <c r="D48" s="128">
        <f>IF(C5="Roll",((D47*1000/B35)/((B36/10000)*(C13/10))/100),IF(C5="Sleeve",((D47*1000/B35)/((B36/10000)*(G14/10))/100),IF(C5="Bag or Pouch",((D47*1000/B35)/((B36/10000)*(K13/10))/100))))</f>
        <v>2193.6744084353313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86" t="s">
        <v>85</v>
      </c>
      <c r="B49" s="286"/>
      <c r="C49" s="286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86" t="s">
        <v>64</v>
      </c>
      <c r="B50" s="286"/>
      <c r="C50" s="286"/>
      <c r="D50" s="98">
        <f>(D47*E35)</f>
        <v>21936.744084353315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86" t="s">
        <v>93</v>
      </c>
      <c r="B52" s="286"/>
      <c r="C52" s="286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86" t="s">
        <v>49</v>
      </c>
      <c r="B53" s="286"/>
      <c r="C53" s="28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644.22615683819515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13.642115669797331</v>
      </c>
      <c r="F60" s="204">
        <v>300</v>
      </c>
      <c r="G60" s="207">
        <f>IFERROR(F60*E60,"")</f>
        <v>4092.6347009391993</v>
      </c>
      <c r="H60" s="287">
        <f>SUMIF($A$60:$A$69,"true",$G$60:$G$69)</f>
        <v>9441.736856218844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8.6539340072822668</v>
      </c>
      <c r="F61" s="205">
        <v>300</v>
      </c>
      <c r="G61" s="208">
        <f t="shared" ref="G61:G69" si="2">IFERROR(F61*E61,"")</f>
        <v>2596.1802021846802</v>
      </c>
      <c r="H61" s="288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3.3269670036411338</v>
      </c>
      <c r="F62" s="205">
        <v>50</v>
      </c>
      <c r="G62" s="208">
        <f t="shared" si="2"/>
        <v>166.34835018205669</v>
      </c>
      <c r="H62" s="288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8.0674175091028353</v>
      </c>
      <c r="F63" s="205">
        <v>100</v>
      </c>
      <c r="G63" s="208">
        <f t="shared" si="2"/>
        <v>806.74175091028349</v>
      </c>
      <c r="H63" s="288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8.0674175091028353</v>
      </c>
      <c r="F64" s="205">
        <v>100</v>
      </c>
      <c r="G64" s="208">
        <f t="shared" si="2"/>
        <v>806.74175091028349</v>
      </c>
      <c r="H64" s="288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8.0674175091028353</v>
      </c>
      <c r="F65" s="205">
        <v>100</v>
      </c>
      <c r="G65" s="208">
        <f t="shared" si="2"/>
        <v>806.74175091028349</v>
      </c>
      <c r="H65" s="288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3.3269670036411338</v>
      </c>
      <c r="F66" s="205">
        <v>50</v>
      </c>
      <c r="G66" s="208">
        <f t="shared" si="2"/>
        <v>166.34835018205669</v>
      </c>
      <c r="H66" s="288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288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288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289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0.94417368562188442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90"/>
      <c r="C73" s="291" t="s">
        <v>41</v>
      </c>
      <c r="D73" s="80" t="s">
        <v>91</v>
      </c>
      <c r="E73" s="293" t="s">
        <v>42</v>
      </c>
      <c r="F73" s="295" t="s">
        <v>43</v>
      </c>
      <c r="G73" s="295" t="s">
        <v>107</v>
      </c>
      <c r="H73" s="284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90"/>
      <c r="C74" s="292"/>
      <c r="D74" s="181">
        <v>0.3</v>
      </c>
      <c r="E74" s="294"/>
      <c r="F74" s="296"/>
      <c r="G74" s="296"/>
      <c r="H74" s="285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1.9375865051903116</v>
      </c>
      <c r="D75" s="183">
        <f>C75*D74</f>
        <v>0.58127595155709344</v>
      </c>
      <c r="E75" s="184">
        <v>0.1</v>
      </c>
      <c r="F75" s="184">
        <v>0.2</v>
      </c>
      <c r="G75" s="185">
        <f>H70</f>
        <v>0.94417368562188442</v>
      </c>
      <c r="H75" s="186">
        <f>SUM(C75:G75)</f>
        <v>3.7630361423692897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5.5996250000000005</v>
      </c>
      <c r="D76" s="91">
        <f>(D75/$E$35)*1000</f>
        <v>1.6798875</v>
      </c>
      <c r="E76" s="91">
        <f>(E75/$E$35)*1000</f>
        <v>0.28900000000000003</v>
      </c>
      <c r="F76" s="91">
        <f>(F75/$E$35)*1000</f>
        <v>0.57800000000000007</v>
      </c>
      <c r="G76" s="91">
        <f>(G75/$E$35)*1000</f>
        <v>2.7286619514472461</v>
      </c>
      <c r="H76" s="188">
        <f>SUM(C76:G76)</f>
        <v>10.875174451447247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0.22398500000000002</v>
      </c>
      <c r="D77" s="92">
        <f t="shared" ref="D77:G77" si="3">(D75/$E$37)</f>
        <v>6.7195500000000005E-2</v>
      </c>
      <c r="E77" s="92">
        <f t="shared" si="3"/>
        <v>1.1560000000000001E-2</v>
      </c>
      <c r="F77" s="92">
        <f t="shared" si="3"/>
        <v>2.3120000000000002E-2</v>
      </c>
      <c r="G77" s="92">
        <f t="shared" si="3"/>
        <v>0.10914647805788984</v>
      </c>
      <c r="H77" s="189">
        <f>SUM(C77:G77)</f>
        <v>0.43500697805788985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5.5996250000000004E-2</v>
      </c>
      <c r="D78" s="92">
        <f>(D75/$E$39)</f>
        <v>1.6798875000000001E-2</v>
      </c>
      <c r="E78" s="92">
        <f>(E75/$E$39)</f>
        <v>2.8900000000000002E-3</v>
      </c>
      <c r="F78" s="92">
        <f>(F75/$E$39)</f>
        <v>5.7800000000000004E-3</v>
      </c>
      <c r="G78" s="92">
        <f>(G75/$E$39)</f>
        <v>2.7286619514472459E-2</v>
      </c>
      <c r="H78" s="189">
        <f>SUM(C78:G78)</f>
        <v>0.10875174451447246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27.998125000000002</v>
      </c>
      <c r="D79" s="191">
        <f>D78*500</f>
        <v>8.3994375000000012</v>
      </c>
      <c r="E79" s="191">
        <f t="shared" ref="E79:G79" si="4">E78*500</f>
        <v>1.4450000000000001</v>
      </c>
      <c r="F79" s="191">
        <f t="shared" si="4"/>
        <v>2.89</v>
      </c>
      <c r="G79" s="191">
        <f t="shared" si="4"/>
        <v>13.64330975723623</v>
      </c>
      <c r="H79" s="192">
        <f>SUM(C79:G79)</f>
        <v>54.375872257236239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78"/>
      <c r="I82" s="278"/>
      <c r="J82" s="278"/>
      <c r="K82" s="41"/>
      <c r="L82" s="41"/>
      <c r="M82" s="41"/>
      <c r="N82" s="41"/>
    </row>
    <row r="83" spans="1:25" ht="18" x14ac:dyDescent="0.35">
      <c r="A83" s="54"/>
      <c r="B83" s="279" t="s">
        <v>136</v>
      </c>
      <c r="C83" s="279"/>
      <c r="D83" s="279"/>
      <c r="E83" s="279"/>
      <c r="F83" s="279"/>
      <c r="G83" s="279"/>
      <c r="H83" s="279"/>
      <c r="I83" s="279"/>
      <c r="J83" s="279"/>
      <c r="K83" s="279"/>
      <c r="L83" s="279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80"/>
      <c r="I88" s="280"/>
      <c r="J88" s="213"/>
      <c r="K88" s="280"/>
      <c r="L88" s="280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0.12819384920884286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4.5999999999999996</v>
      </c>
      <c r="E92" s="147">
        <f t="shared" ref="E92:E104" si="7">IFERROR(D92*C92,"")</f>
        <v>690</v>
      </c>
      <c r="F92" s="163">
        <f t="shared" ref="F92:F104" si="8">IFERROR(E92/$E$105,"")</f>
        <v>3.468774743298101E-2</v>
      </c>
      <c r="G92" s="10"/>
      <c r="M92" s="41"/>
      <c r="N92" s="41"/>
      <c r="O92" s="41"/>
      <c r="Q92" s="281" t="s">
        <v>159</v>
      </c>
      <c r="R92" s="281"/>
      <c r="S92" s="112">
        <f>H75</f>
        <v>3.7630361423692897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0.1018889740721656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0.58441313609913659</v>
      </c>
      <c r="L94" s="43"/>
      <c r="R94" s="215" t="s">
        <v>45</v>
      </c>
      <c r="S94" s="216" t="s">
        <v>160</v>
      </c>
      <c r="T94" s="282" t="s">
        <v>148</v>
      </c>
      <c r="U94" s="283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2.8817601908121961</v>
      </c>
      <c r="S95" s="211">
        <f>R95/S92</f>
        <v>0.76580720508248346</v>
      </c>
      <c r="T95" s="274">
        <f>R96-R95</f>
        <v>-6.8260190812196253E-2</v>
      </c>
      <c r="U95" s="276">
        <f>(R96-R95)/R95</f>
        <v>-2.368697819819552E-2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2.8134999999999999</v>
      </c>
      <c r="S96" s="211">
        <f>R96/S92</f>
        <v>0.74766754651167366</v>
      </c>
      <c r="T96" s="275"/>
      <c r="U96" s="276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0.8812759515570936</v>
      </c>
      <c r="S97" s="218">
        <f>R97/S92</f>
        <v>0.23419279491751652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0.94953614236928985</v>
      </c>
      <c r="S98" s="211">
        <f>R98/S92</f>
        <v>0.25233245348832634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0.15081629318687395</v>
      </c>
    </row>
    <row r="105" spans="1:19" x14ac:dyDescent="0.3">
      <c r="B105" s="41"/>
      <c r="E105" s="141">
        <f>SUM(E91:E104)</f>
        <v>19891.75</v>
      </c>
    </row>
    <row r="106" spans="1:19" x14ac:dyDescent="0.3">
      <c r="B106" s="41"/>
      <c r="D106" s="87" t="s">
        <v>141</v>
      </c>
      <c r="E106" s="140">
        <f>E105/C85</f>
        <v>1.894452380952381</v>
      </c>
    </row>
    <row r="107" spans="1:19" x14ac:dyDescent="0.3">
      <c r="B107" s="41"/>
      <c r="D107" s="87" t="s">
        <v>142</v>
      </c>
      <c r="E107" s="159">
        <f>(E106-C75)/C75</f>
        <v>-2.2261779859833377E-2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77" t="s">
        <v>145</v>
      </c>
      <c r="C122" s="277"/>
      <c r="D122" s="277"/>
      <c r="E122" s="140">
        <f>E121/C85</f>
        <v>0.919047619047619</v>
      </c>
    </row>
    <row r="123" spans="2:6" x14ac:dyDescent="0.3">
      <c r="B123" s="277" t="s">
        <v>142</v>
      </c>
      <c r="C123" s="277"/>
      <c r="D123" s="277"/>
      <c r="E123" s="159">
        <f>(E122-H70)/H70</f>
        <v>-2.6611699687135438E-2</v>
      </c>
    </row>
  </sheetData>
  <mergeCells count="73"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O10:P10"/>
    <mergeCell ref="A1:L1"/>
    <mergeCell ref="A3:B3"/>
    <mergeCell ref="C3:E3"/>
    <mergeCell ref="G3:H3"/>
    <mergeCell ref="I3:L3"/>
    <mergeCell ref="A12:C12"/>
    <mergeCell ref="I12:K12"/>
    <mergeCell ref="M12:N12"/>
    <mergeCell ref="E13:F13"/>
    <mergeCell ref="I13:J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21:C23"/>
    <mergeCell ref="A31:D31"/>
    <mergeCell ref="C35:D35"/>
    <mergeCell ref="E21:E23"/>
    <mergeCell ref="F21:F23"/>
    <mergeCell ref="F35:H35"/>
    <mergeCell ref="C36:D36"/>
    <mergeCell ref="F38:H38"/>
    <mergeCell ref="C37:D37"/>
    <mergeCell ref="F37:H37"/>
    <mergeCell ref="F36:H36"/>
    <mergeCell ref="C38:D38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F20" sqref="F20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24" t="s">
        <v>174</v>
      </c>
      <c r="X1" s="324"/>
      <c r="Y1" s="324"/>
      <c r="Z1" s="324"/>
      <c r="AA1" s="324"/>
      <c r="AB1" s="324"/>
      <c r="AC1" s="324"/>
      <c r="AD1" s="324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3">
      <c r="D19" t="s">
        <v>28</v>
      </c>
      <c r="E19" s="101">
        <v>1</v>
      </c>
      <c r="F19" s="5">
        <v>0.35</v>
      </c>
      <c r="G19" s="103">
        <v>4.5999999999999996</v>
      </c>
    </row>
    <row r="20" spans="4:17" x14ac:dyDescent="0.3">
      <c r="D20" t="s">
        <v>29</v>
      </c>
      <c r="E20" s="101">
        <v>1</v>
      </c>
      <c r="F20" s="5">
        <v>0.2</v>
      </c>
      <c r="G20" s="103">
        <v>6</v>
      </c>
    </row>
    <row r="21" spans="4:17" x14ac:dyDescent="0.3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3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3">
      <c r="D24" t="s">
        <v>31</v>
      </c>
      <c r="E24" s="101">
        <v>1</v>
      </c>
      <c r="F24" s="5">
        <v>0.3</v>
      </c>
      <c r="G24" s="103">
        <v>8</v>
      </c>
    </row>
    <row r="25" spans="4:17" x14ac:dyDescent="0.3">
      <c r="D25" t="s">
        <v>32</v>
      </c>
      <c r="E25" s="101">
        <v>1</v>
      </c>
      <c r="F25" s="5">
        <v>1</v>
      </c>
      <c r="G25" s="103">
        <v>5</v>
      </c>
    </row>
    <row r="26" spans="4:17" x14ac:dyDescent="0.3">
      <c r="D26" t="s">
        <v>33</v>
      </c>
      <c r="E26" s="101">
        <v>1</v>
      </c>
      <c r="F26" s="5">
        <v>0.5</v>
      </c>
      <c r="G26" s="103">
        <v>6</v>
      </c>
    </row>
    <row r="27" spans="4:17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3">
      <c r="D28" t="s">
        <v>25</v>
      </c>
      <c r="E28" s="101">
        <v>1</v>
      </c>
      <c r="F28" s="5">
        <v>1</v>
      </c>
      <c r="G28" s="103">
        <v>4</v>
      </c>
    </row>
    <row r="29" spans="4:17" x14ac:dyDescent="0.3">
      <c r="D29" t="s">
        <v>26</v>
      </c>
      <c r="E29" s="101">
        <v>1</v>
      </c>
      <c r="F29" s="5">
        <v>1</v>
      </c>
      <c r="G29" s="103">
        <v>5</v>
      </c>
    </row>
    <row r="30" spans="4:17" x14ac:dyDescent="0.3">
      <c r="D30" t="s">
        <v>58</v>
      </c>
      <c r="E30" s="101">
        <v>0</v>
      </c>
      <c r="F30" s="5">
        <v>0</v>
      </c>
      <c r="G30" s="103">
        <v>1.5</v>
      </c>
    </row>
    <row r="31" spans="4:17" x14ac:dyDescent="0.3">
      <c r="D31" t="s">
        <v>189</v>
      </c>
      <c r="E31" s="101"/>
      <c r="F31" s="5"/>
      <c r="G31" s="103"/>
    </row>
    <row r="32" spans="4:17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19" t="s">
        <v>153</v>
      </c>
      <c r="B1" s="319"/>
      <c r="C1" s="319"/>
      <c r="D1" s="319"/>
      <c r="E1" s="319"/>
      <c r="F1" s="319"/>
      <c r="G1" s="319"/>
      <c r="H1" s="319"/>
      <c r="I1" s="319"/>
      <c r="J1" s="319"/>
      <c r="K1" s="319"/>
      <c r="L1" s="319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20" t="s">
        <v>50</v>
      </c>
      <c r="B3" s="320"/>
      <c r="C3" s="321" t="s">
        <v>131</v>
      </c>
      <c r="D3" s="321"/>
      <c r="E3" s="321"/>
      <c r="F3" s="9"/>
      <c r="G3" s="320" t="s">
        <v>56</v>
      </c>
      <c r="H3" s="320"/>
      <c r="I3" s="321" t="s">
        <v>132</v>
      </c>
      <c r="J3" s="321"/>
      <c r="K3" s="321"/>
      <c r="L3" s="321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20" t="s">
        <v>51</v>
      </c>
      <c r="B5" s="320"/>
      <c r="C5" s="322" t="s">
        <v>1</v>
      </c>
      <c r="D5" s="322"/>
      <c r="E5" s="322"/>
      <c r="F5" s="9"/>
      <c r="G5" s="320" t="s">
        <v>53</v>
      </c>
      <c r="H5" s="320"/>
      <c r="I5" s="323">
        <v>20000</v>
      </c>
      <c r="J5" s="323"/>
      <c r="K5" s="322" t="s">
        <v>2</v>
      </c>
      <c r="L5" s="322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13" t="s">
        <v>54</v>
      </c>
      <c r="B9" s="313"/>
      <c r="C9" s="313"/>
      <c r="O9" s="20"/>
      <c r="P9" s="20"/>
      <c r="Q9" s="20"/>
    </row>
    <row r="10" spans="1:19" ht="15.6" x14ac:dyDescent="0.3">
      <c r="A10" s="313" t="s">
        <v>55</v>
      </c>
      <c r="B10" s="313"/>
      <c r="C10" s="313"/>
      <c r="N10" s="314"/>
      <c r="O10" s="314"/>
      <c r="P10" s="314"/>
      <c r="Q10" s="314"/>
      <c r="R10" s="44"/>
    </row>
    <row r="11" spans="1:19" ht="15" thickBot="1" x14ac:dyDescent="0.35"/>
    <row r="12" spans="1:19" ht="15" thickBot="1" x14ac:dyDescent="0.35">
      <c r="A12" s="318"/>
      <c r="B12" s="318"/>
      <c r="C12" s="318"/>
      <c r="E12" s="328" t="s">
        <v>68</v>
      </c>
      <c r="F12" s="329"/>
      <c r="G12" s="330"/>
      <c r="I12" s="318"/>
      <c r="J12" s="318"/>
      <c r="K12" s="318"/>
      <c r="M12" s="318"/>
      <c r="N12" s="318"/>
      <c r="O12" s="318"/>
    </row>
    <row r="13" spans="1:19" x14ac:dyDescent="0.3">
      <c r="A13" s="306"/>
      <c r="B13" s="306"/>
      <c r="C13" s="21"/>
      <c r="E13" s="331" t="s">
        <v>69</v>
      </c>
      <c r="F13" s="332"/>
      <c r="G13" s="29">
        <v>102</v>
      </c>
      <c r="I13" s="306"/>
      <c r="J13" s="306"/>
      <c r="K13" s="21"/>
      <c r="M13" s="306"/>
      <c r="N13" s="306"/>
      <c r="O13" s="129"/>
    </row>
    <row r="14" spans="1:19" x14ac:dyDescent="0.3">
      <c r="A14" s="306"/>
      <c r="B14" s="306"/>
      <c r="C14" s="21"/>
      <c r="E14" s="309" t="s">
        <v>8</v>
      </c>
      <c r="F14" s="310"/>
      <c r="G14" s="30">
        <v>33</v>
      </c>
      <c r="I14" s="306"/>
      <c r="J14" s="306"/>
      <c r="K14" s="21"/>
      <c r="M14" s="306"/>
      <c r="N14" s="306"/>
      <c r="O14" s="130"/>
      <c r="P14" s="21"/>
      <c r="R14" s="21"/>
    </row>
    <row r="15" spans="1:19" x14ac:dyDescent="0.3">
      <c r="A15" s="306"/>
      <c r="B15" s="306"/>
      <c r="C15" s="131"/>
      <c r="E15" s="326" t="s">
        <v>9</v>
      </c>
      <c r="F15" s="327"/>
      <c r="G15" s="30">
        <v>161</v>
      </c>
      <c r="I15" s="4"/>
      <c r="J15" s="4"/>
      <c r="K15" s="131"/>
      <c r="M15" s="306"/>
      <c r="N15" s="306"/>
      <c r="O15" s="130"/>
      <c r="P15" s="21"/>
      <c r="R15" s="21"/>
    </row>
    <row r="16" spans="1:19" x14ac:dyDescent="0.3">
      <c r="A16" s="306"/>
      <c r="B16" s="306"/>
      <c r="C16" s="6"/>
      <c r="E16" s="23" t="s">
        <v>6</v>
      </c>
      <c r="F16" s="22"/>
      <c r="G16" s="31">
        <v>20</v>
      </c>
      <c r="I16" s="306"/>
      <c r="J16" s="306"/>
      <c r="K16" s="6"/>
      <c r="M16" s="306"/>
      <c r="N16" s="306"/>
      <c r="O16" s="129"/>
    </row>
    <row r="17" spans="1:15" ht="15" thickBot="1" x14ac:dyDescent="0.35">
      <c r="A17" s="306"/>
      <c r="B17" s="306"/>
      <c r="C17" s="6"/>
      <c r="E17" s="304" t="s">
        <v>7</v>
      </c>
      <c r="F17" s="305"/>
      <c r="G17" s="32">
        <v>30</v>
      </c>
      <c r="M17" s="306"/>
      <c r="N17" s="306"/>
      <c r="O17" s="130"/>
    </row>
    <row r="18" spans="1:15" x14ac:dyDescent="0.3">
      <c r="M18" s="306"/>
      <c r="N18" s="306"/>
      <c r="O18" s="101"/>
    </row>
    <row r="19" spans="1:15" x14ac:dyDescent="0.3">
      <c r="M19" s="325"/>
      <c r="N19" s="325"/>
      <c r="O19" s="132"/>
    </row>
    <row r="20" spans="1:15" x14ac:dyDescent="0.3">
      <c r="M20" s="325"/>
      <c r="N20" s="325"/>
      <c r="O20" s="133"/>
    </row>
    <row r="21" spans="1:15" x14ac:dyDescent="0.3">
      <c r="C21" s="307" t="s">
        <v>81</v>
      </c>
      <c r="D21" s="53"/>
      <c r="E21" s="307" t="s">
        <v>81</v>
      </c>
      <c r="F21" s="307"/>
      <c r="G21" s="307" t="s">
        <v>81</v>
      </c>
      <c r="H21" s="307" t="s">
        <v>81</v>
      </c>
    </row>
    <row r="22" spans="1:15" x14ac:dyDescent="0.3">
      <c r="C22" s="307"/>
      <c r="D22" s="53"/>
      <c r="E22" s="307"/>
      <c r="F22" s="307"/>
      <c r="G22" s="307"/>
      <c r="H22" s="307"/>
    </row>
    <row r="23" spans="1:15" ht="15" thickBot="1" x14ac:dyDescent="0.35">
      <c r="C23" s="308"/>
      <c r="D23" s="53"/>
      <c r="E23" s="308"/>
      <c r="F23" s="308"/>
      <c r="G23" s="308"/>
      <c r="H23" s="308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20222.222222222226</v>
      </c>
      <c r="K25" s="75">
        <f>table1[[#This Row],[Total GSM]]/$B$37</f>
        <v>0.91919191919191923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0.35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2.8</v>
      </c>
      <c r="G26" s="71">
        <f>VLOOKUP(B26,Material[],4,FALSE)</f>
        <v>4.5999999999999996</v>
      </c>
      <c r="H26" s="51">
        <v>0.1</v>
      </c>
      <c r="I26" s="47">
        <f>(IF(A26="Substrate",(F26*G26)/1000,(D26*G26)/1000))*(1+table1[[#This Row],[Waste
%]])</f>
        <v>4.0480000000000002E-2</v>
      </c>
      <c r="J26" s="52">
        <f t="shared" ref="J26" si="1">IF(A26="Substrate",(($I$36*F26)/$B$37)*(1+H26),(($I$36*D26)/$B$37)*(1+H26))</f>
        <v>5079.3650793650795</v>
      </c>
      <c r="K26" s="58">
        <f>table1[[#This Row],[Total GSM]]/$B$37</f>
        <v>8.0808080808080801E-2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297" t="s">
        <v>38</v>
      </c>
      <c r="B31" s="298"/>
      <c r="C31" s="298"/>
      <c r="D31" s="298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2.8E-3</v>
      </c>
      <c r="J31" s="125">
        <f>(SUMIFS(table1[Est.
Required Kgs],table1[Type], "Ink") + SUMIFS(table1[Est.
Required Kgs],table1[Material], "Solvent Base"))*$F$31</f>
        <v>7619.0476190476193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0.91666666666666674</v>
      </c>
      <c r="C35" s="299" t="s">
        <v>66</v>
      </c>
      <c r="D35" s="299"/>
      <c r="E35" s="35">
        <f>IF(C5="Roll", (1000/(C13*C14*B37*0.001*0.001))*C16, IF(C5="Sleeve", (1000/(G14*G15*B37*0.001*0.001))*1, IF(C5="Bag or Pouch", (1000/(K14*K13*B37*0.001*0.001))*1, "")))</f>
        <v>5431.9647769676003</v>
      </c>
      <c r="F35" s="299" t="s">
        <v>65</v>
      </c>
      <c r="G35" s="299"/>
      <c r="H35" s="299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37.799999999999997</v>
      </c>
      <c r="C36" s="299" t="s">
        <v>59</v>
      </c>
      <c r="D36" s="299"/>
      <c r="E36" s="15">
        <f>1000/E35</f>
        <v>0.18409544999999999</v>
      </c>
      <c r="F36" s="299" t="s">
        <v>88</v>
      </c>
      <c r="G36" s="299"/>
      <c r="H36" s="299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34.65</v>
      </c>
      <c r="C37" s="299" t="s">
        <v>60</v>
      </c>
      <c r="D37" s="299"/>
      <c r="E37" s="15">
        <f>1000/B37</f>
        <v>28.860028860028862</v>
      </c>
      <c r="F37" s="299" t="s">
        <v>89</v>
      </c>
      <c r="G37" s="299"/>
      <c r="H37" s="299"/>
      <c r="I37" s="38">
        <f>(I36*1000)/E36/1000</f>
        <v>108639.29553935201</v>
      </c>
    </row>
    <row r="38" spans="1:13" x14ac:dyDescent="0.3">
      <c r="A38" s="2" t="s">
        <v>83</v>
      </c>
      <c r="B38" s="16">
        <f>SUM(I25:I30)+I31</f>
        <v>0.10634300000000001</v>
      </c>
      <c r="C38" s="299" t="s">
        <v>86</v>
      </c>
      <c r="D38" s="299"/>
      <c r="E38" s="15">
        <f>(E37/I35)*1000</f>
        <v>28.574286000028575</v>
      </c>
      <c r="F38" s="299" t="s">
        <v>87</v>
      </c>
      <c r="G38" s="299"/>
      <c r="H38" s="299"/>
      <c r="I38" s="38">
        <f>I36*E38</f>
        <v>571485.72000057145</v>
      </c>
    </row>
    <row r="39" spans="1:13" x14ac:dyDescent="0.3">
      <c r="C39" s="299" t="s">
        <v>151</v>
      </c>
      <c r="D39" s="299"/>
      <c r="E39" s="15">
        <f>IF(C5="Roll", ((E37/C13)*1000), IF(C5="Sleeve", ((E37/G14)*1000), IF(C5="Bag or Pouch", ((E37/K13)*1000), "")))</f>
        <v>874.5463290917836</v>
      </c>
    </row>
    <row r="40" spans="1:13" x14ac:dyDescent="0.3">
      <c r="C40" s="299"/>
      <c r="D40" s="299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01" t="s">
        <v>92</v>
      </c>
      <c r="B44" s="302"/>
      <c r="C44" s="303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86" t="s">
        <v>62</v>
      </c>
      <c r="B46" s="286"/>
      <c r="C46" s="286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86" t="s">
        <v>63</v>
      </c>
      <c r="B47" s="286"/>
      <c r="C47" s="286"/>
      <c r="D47" s="95">
        <f>IF(C5="Roll",(((D46/2)^2-(D44/2)^2)*PI()*C13*B35/1000000),IF(C5="Sleeve",(((D46/2)^2-(D44/2)^2)*PI()*G14*B35/1000000),IF(C5="Bag or Pouch",(((D46/2)^2-(D44/2)^2)*PI()*K13*B35/1000000))))</f>
        <v>7.8170490707388822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86" t="s">
        <v>48</v>
      </c>
      <c r="B48" s="286"/>
      <c r="C48" s="286"/>
      <c r="D48" s="96">
        <f>IF(C5="Roll",((D47*1000/B35)/((B36/10000)*(C13/10))/100),IF(C5="Sleeve",((D47*1000/B35)/((B36/10000)*(G14/10))/100),IF(C5="Bag or Pouch",((D47*1000/B35)/((B36/10000)*(K13/10))/100))))</f>
        <v>6836.3715691450298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86" t="s">
        <v>85</v>
      </c>
      <c r="B49" s="286"/>
      <c r="C49" s="286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86" t="s">
        <v>64</v>
      </c>
      <c r="B50" s="286"/>
      <c r="C50" s="286"/>
      <c r="D50" s="98">
        <f>(D47*E35)</f>
        <v>42461.93521208092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86" t="s">
        <v>93</v>
      </c>
      <c r="B52" s="286"/>
      <c r="C52" s="286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86" t="s">
        <v>49</v>
      </c>
      <c r="B53" s="286"/>
      <c r="C53" s="28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1737.6438086744588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33">
        <f>SUMIF($A$60:$A$69,"true",$G$60:$G$69)</f>
        <v>141966.47760014096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41.099048000038096</v>
      </c>
      <c r="F61" s="113">
        <v>300</v>
      </c>
      <c r="G61" s="114">
        <f t="shared" ref="G61:G68" si="3">F61*E61</f>
        <v>12329.714400011429</v>
      </c>
      <c r="H61" s="334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34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34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34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34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19.549524000019048</v>
      </c>
      <c r="F66" s="113">
        <v>50</v>
      </c>
      <c r="G66" s="114">
        <f t="shared" si="3"/>
        <v>977.47620000095242</v>
      </c>
      <c r="H66" s="334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571.98572000057152</v>
      </c>
      <c r="F67" s="113">
        <v>100</v>
      </c>
      <c r="G67" s="114">
        <f t="shared" si="3"/>
        <v>57198.572000057153</v>
      </c>
      <c r="H67" s="334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1429.2143000014289</v>
      </c>
      <c r="F68" s="113">
        <v>50</v>
      </c>
      <c r="G68" s="114">
        <f t="shared" si="3"/>
        <v>71460.715000071446</v>
      </c>
      <c r="H68" s="334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35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7.0983238800070483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90"/>
      <c r="C73" s="291" t="s">
        <v>41</v>
      </c>
      <c r="D73" s="80" t="s">
        <v>91</v>
      </c>
      <c r="E73" s="293" t="s">
        <v>42</v>
      </c>
      <c r="F73" s="295" t="s">
        <v>43</v>
      </c>
      <c r="G73" s="295" t="s">
        <v>107</v>
      </c>
      <c r="H73" s="284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90"/>
      <c r="C74" s="292"/>
      <c r="D74" s="181">
        <v>0.3</v>
      </c>
      <c r="E74" s="294"/>
      <c r="F74" s="296"/>
      <c r="G74" s="296"/>
      <c r="H74" s="285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3.0690620490620497</v>
      </c>
      <c r="D75" s="183">
        <f>C75*D74</f>
        <v>0.92071861471861483</v>
      </c>
      <c r="E75" s="184">
        <v>0.1</v>
      </c>
      <c r="F75" s="184">
        <v>0.2</v>
      </c>
      <c r="G75" s="184">
        <f>H70</f>
        <v>7.0983238800070483</v>
      </c>
      <c r="H75" s="186">
        <f>SUM(C75:G75)</f>
        <v>11.388104543787712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0.56500035900000012</v>
      </c>
      <c r="D76" s="91">
        <f>(D75/$E$35)*1000</f>
        <v>0.16950010770000001</v>
      </c>
      <c r="E76" s="91">
        <f>(E75/$E$35)*1000</f>
        <v>1.8409544999999999E-2</v>
      </c>
      <c r="F76" s="91">
        <f>(F75/$E$35)*1000</f>
        <v>3.6819089999999999E-2</v>
      </c>
      <c r="G76" s="91">
        <f>(G75/$E$35)*1000</f>
        <v>1.3067691289356436</v>
      </c>
      <c r="H76" s="188">
        <f>SUM(C76:G76)</f>
        <v>2.0964982306356434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0.10634300000000002</v>
      </c>
      <c r="D77" s="92">
        <f t="shared" ref="D77:F77" si="4">(D75/$E$37)</f>
        <v>3.1902899999999998E-2</v>
      </c>
      <c r="E77" s="92">
        <f t="shared" si="4"/>
        <v>3.4649999999999998E-3</v>
      </c>
      <c r="F77" s="92">
        <f t="shared" si="4"/>
        <v>6.9299999999999995E-3</v>
      </c>
      <c r="G77" s="92">
        <f t="shared" ref="G77" si="5">(G75/$E$37)</f>
        <v>0.24595692244224421</v>
      </c>
      <c r="H77" s="189">
        <f>SUM(C77:G77)</f>
        <v>0.39459782244224423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3.5093190000000008E-3</v>
      </c>
      <c r="D78" s="92">
        <f>(D75/$E$39)</f>
        <v>1.0527957000000001E-3</v>
      </c>
      <c r="E78" s="92">
        <f>(E75/$E$39)</f>
        <v>1.14345E-4</v>
      </c>
      <c r="F78" s="92">
        <f>(F75/$E$39)</f>
        <v>2.2869000000000001E-4</v>
      </c>
      <c r="G78" s="92">
        <f>(G75/$E$39)</f>
        <v>8.1165784405940588E-3</v>
      </c>
      <c r="H78" s="189">
        <f>SUM(C78:G78)</f>
        <v>1.302172814059406E-2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1.7546595000000005</v>
      </c>
      <c r="D79" s="191">
        <f>D78*500</f>
        <v>0.52639785000000006</v>
      </c>
      <c r="E79" s="191">
        <f t="shared" ref="E79:G79" si="6">E78*500</f>
        <v>5.7172500000000001E-2</v>
      </c>
      <c r="F79" s="191">
        <f t="shared" si="6"/>
        <v>0.114345</v>
      </c>
      <c r="G79" s="191">
        <f t="shared" si="6"/>
        <v>4.0582892202970298</v>
      </c>
      <c r="H79" s="192">
        <f>SUM(C79:G79)</f>
        <v>6.5108640702970302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78"/>
      <c r="I82" s="278"/>
      <c r="J82" s="278"/>
      <c r="K82" s="41"/>
      <c r="L82" s="41"/>
      <c r="M82" s="41"/>
      <c r="N82" s="41"/>
    </row>
    <row r="83" spans="1:21" ht="18" x14ac:dyDescent="0.35">
      <c r="A83" s="54"/>
      <c r="B83" s="279" t="s">
        <v>136</v>
      </c>
      <c r="C83" s="279"/>
      <c r="D83" s="279"/>
      <c r="E83" s="279"/>
      <c r="F83" s="279"/>
      <c r="G83" s="279"/>
      <c r="H83" s="279"/>
      <c r="I83" s="279"/>
      <c r="J83" s="279"/>
      <c r="K83" s="279"/>
      <c r="L83" s="279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36" t="s">
        <v>146</v>
      </c>
      <c r="I87" s="337"/>
      <c r="J87" s="17" t="s">
        <v>148</v>
      </c>
      <c r="K87" s="338" t="s">
        <v>147</v>
      </c>
      <c r="L87" s="339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40">
        <f>C75+H70</f>
        <v>10.167385929069098</v>
      </c>
      <c r="I88" s="341"/>
      <c r="J88" s="162">
        <f>(K88-H88)/H88</f>
        <v>0.98761894452246557</v>
      </c>
      <c r="K88" s="342">
        <f>E106+E122</f>
        <v>20.20888888888889</v>
      </c>
      <c r="L88" s="343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0.10336164612991984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5333.3333333333339</v>
      </c>
      <c r="D92" s="142">
        <f t="shared" si="8"/>
        <v>4.5999999999999996</v>
      </c>
      <c r="E92" s="147">
        <f t="shared" ref="E92:E104" si="10">IFERROR(D92*C92,"")</f>
        <v>24533.333333333336</v>
      </c>
      <c r="F92" s="163">
        <f t="shared" ref="F92:F104" si="11">IFERROR(E92/$E$105,"")</f>
        <v>0.88048809666228023</v>
      </c>
      <c r="P92" s="222"/>
      <c r="Q92" s="281" t="s">
        <v>159</v>
      </c>
      <c r="R92" s="281"/>
      <c r="S92" s="112">
        <f>H75</f>
        <v>11.388104543787712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282" t="s">
        <v>148</v>
      </c>
      <c r="U94" s="283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10.167385929069098</v>
      </c>
      <c r="S95" s="211">
        <f>R95/S92</f>
        <v>0.89280756863225985</v>
      </c>
      <c r="T95" s="274">
        <f>R96-R95</f>
        <v>10.041502959819791</v>
      </c>
      <c r="U95" s="276">
        <f>(R96-R95)/R95</f>
        <v>0.98761894452246557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20.20888888888889</v>
      </c>
      <c r="S96" s="211">
        <f>R96/S92</f>
        <v>1.7745612372265211</v>
      </c>
      <c r="T96" s="275"/>
      <c r="U96" s="276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1.2207186147186135</v>
      </c>
      <c r="S97" s="218">
        <f>R97/S92</f>
        <v>0.10719243136774011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-8.8207843451011776</v>
      </c>
      <c r="S98" s="211">
        <f>R98/S92</f>
        <v>-0.77456123722652115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1.6150257207799976E-2</v>
      </c>
      <c r="P104" s="222"/>
    </row>
    <row r="105" spans="2:19" x14ac:dyDescent="0.3">
      <c r="B105" s="41"/>
      <c r="E105" s="141">
        <f>SUM(E91:E104)</f>
        <v>27863.333333333336</v>
      </c>
      <c r="P105" s="222"/>
    </row>
    <row r="106" spans="2:19" x14ac:dyDescent="0.3">
      <c r="B106" s="41"/>
      <c r="D106" s="87" t="s">
        <v>141</v>
      </c>
      <c r="E106" s="140">
        <f>E105/C85</f>
        <v>18.575555555555557</v>
      </c>
      <c r="P106" s="222"/>
    </row>
    <row r="107" spans="2:19" x14ac:dyDescent="0.3">
      <c r="B107" s="41"/>
      <c r="D107" s="87" t="s">
        <v>142</v>
      </c>
      <c r="E107" s="159">
        <f>(E106-C75)/C75</f>
        <v>5.0525187365411917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277" t="s">
        <v>145</v>
      </c>
      <c r="C122" s="277"/>
      <c r="D122" s="277"/>
      <c r="E122" s="140">
        <f>E121/C85</f>
        <v>1.6333333333333333</v>
      </c>
      <c r="P122" s="222"/>
    </row>
    <row r="123" spans="2:16" x14ac:dyDescent="0.3">
      <c r="B123" s="277" t="s">
        <v>142</v>
      </c>
      <c r="C123" s="277"/>
      <c r="D123" s="277"/>
      <c r="E123" s="159">
        <f>(E122-H70)/H70</f>
        <v>-0.76989873089142391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B122:D122"/>
    <mergeCell ref="B123:D123"/>
    <mergeCell ref="B83:L83"/>
    <mergeCell ref="H87:I87"/>
    <mergeCell ref="K87:L87"/>
    <mergeCell ref="H88:I88"/>
    <mergeCell ref="K88:L88"/>
    <mergeCell ref="G73:G74"/>
    <mergeCell ref="H82:J82"/>
    <mergeCell ref="A48:C48"/>
    <mergeCell ref="A53:C53"/>
    <mergeCell ref="E73:E74"/>
    <mergeCell ref="F73:F74"/>
    <mergeCell ref="H73:H74"/>
    <mergeCell ref="H60:H69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I16:J16"/>
    <mergeCell ref="E15:F15"/>
    <mergeCell ref="E12:G12"/>
    <mergeCell ref="E13:F13"/>
    <mergeCell ref="E14:F14"/>
    <mergeCell ref="M12:O12"/>
    <mergeCell ref="M13:N13"/>
    <mergeCell ref="M14:N14"/>
    <mergeCell ref="M15:N15"/>
    <mergeCell ref="M16:N16"/>
    <mergeCell ref="C21:C23"/>
    <mergeCell ref="E21:E23"/>
    <mergeCell ref="H21:H23"/>
    <mergeCell ref="F21:F23"/>
    <mergeCell ref="E17:F17"/>
    <mergeCell ref="G21:G23"/>
    <mergeCell ref="Q92:R92"/>
    <mergeCell ref="T94:U94"/>
    <mergeCell ref="T95:T96"/>
    <mergeCell ref="U95:U96"/>
    <mergeCell ref="M17:N17"/>
    <mergeCell ref="M18:N18"/>
    <mergeCell ref="M19:N20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19" t="s">
        <v>153</v>
      </c>
      <c r="B1" s="319"/>
      <c r="C1" s="319"/>
      <c r="D1" s="319"/>
      <c r="E1" s="319"/>
      <c r="F1" s="319"/>
      <c r="G1" s="319"/>
      <c r="H1" s="319"/>
      <c r="I1" s="319"/>
      <c r="J1" s="319"/>
      <c r="K1" s="319"/>
      <c r="L1" s="319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20" t="s">
        <v>50</v>
      </c>
      <c r="B3" s="320"/>
      <c r="C3" s="321" t="s">
        <v>133</v>
      </c>
      <c r="D3" s="321"/>
      <c r="E3" s="321"/>
      <c r="F3" s="9"/>
      <c r="G3" s="320" t="s">
        <v>56</v>
      </c>
      <c r="H3" s="320"/>
      <c r="I3" s="321" t="s">
        <v>134</v>
      </c>
      <c r="J3" s="321"/>
      <c r="K3" s="321"/>
      <c r="L3" s="321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20" t="s">
        <v>51</v>
      </c>
      <c r="B5" s="320"/>
      <c r="C5" s="322" t="s">
        <v>52</v>
      </c>
      <c r="D5" s="322"/>
      <c r="E5" s="322"/>
      <c r="F5" s="9"/>
      <c r="G5" s="320" t="s">
        <v>53</v>
      </c>
      <c r="H5" s="320"/>
      <c r="I5" s="323">
        <v>500</v>
      </c>
      <c r="J5" s="323"/>
      <c r="K5" s="322" t="s">
        <v>3</v>
      </c>
      <c r="L5" s="322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13" t="s">
        <v>54</v>
      </c>
      <c r="B9" s="313"/>
      <c r="C9" s="313"/>
      <c r="O9" s="20"/>
      <c r="P9" s="20"/>
      <c r="Q9" s="20"/>
    </row>
    <row r="10" spans="1:19" ht="15.6" x14ac:dyDescent="0.3">
      <c r="A10" s="313" t="s">
        <v>55</v>
      </c>
      <c r="B10" s="313"/>
      <c r="C10" s="313"/>
      <c r="N10" s="314"/>
      <c r="O10" s="314"/>
      <c r="P10" s="314"/>
      <c r="Q10" s="314"/>
      <c r="R10" s="44"/>
    </row>
    <row r="11" spans="1:19" ht="15" thickBot="1" x14ac:dyDescent="0.35"/>
    <row r="12" spans="1:19" ht="15" thickBot="1" x14ac:dyDescent="0.35">
      <c r="A12" s="318"/>
      <c r="B12" s="318"/>
      <c r="C12" s="318"/>
      <c r="E12" s="318"/>
      <c r="F12" s="318"/>
      <c r="G12" s="318"/>
      <c r="I12" s="350" t="s">
        <v>70</v>
      </c>
      <c r="J12" s="351"/>
      <c r="K12" s="352"/>
      <c r="M12" s="350" t="s">
        <v>73</v>
      </c>
      <c r="N12" s="351"/>
      <c r="O12" s="352"/>
    </row>
    <row r="13" spans="1:19" x14ac:dyDescent="0.3">
      <c r="A13" s="306"/>
      <c r="B13" s="306"/>
      <c r="C13" s="21"/>
      <c r="E13" s="306"/>
      <c r="F13" s="306"/>
      <c r="G13" s="21"/>
      <c r="I13" s="331" t="s">
        <v>71</v>
      </c>
      <c r="J13" s="332"/>
      <c r="K13" s="29">
        <v>720</v>
      </c>
      <c r="M13" s="331" t="s">
        <v>75</v>
      </c>
      <c r="N13" s="332"/>
      <c r="O13" s="33">
        <v>6.94</v>
      </c>
    </row>
    <row r="14" spans="1:19" x14ac:dyDescent="0.3">
      <c r="A14" s="306"/>
      <c r="B14" s="306"/>
      <c r="C14" s="21"/>
      <c r="E14" s="306"/>
      <c r="F14" s="306"/>
      <c r="G14" s="21"/>
      <c r="I14" s="309" t="s">
        <v>72</v>
      </c>
      <c r="J14" s="310"/>
      <c r="K14" s="30">
        <v>310</v>
      </c>
      <c r="M14" s="309" t="s">
        <v>76</v>
      </c>
      <c r="N14" s="310"/>
      <c r="O14" s="34">
        <v>0.25</v>
      </c>
      <c r="P14" s="21"/>
      <c r="R14" s="21"/>
    </row>
    <row r="15" spans="1:19" x14ac:dyDescent="0.3">
      <c r="A15" s="306"/>
      <c r="B15" s="306"/>
      <c r="C15" s="131"/>
      <c r="E15" s="306"/>
      <c r="F15" s="306"/>
      <c r="G15" s="21"/>
      <c r="I15" s="23" t="s">
        <v>6</v>
      </c>
      <c r="J15" s="22"/>
      <c r="K15" s="31">
        <v>20</v>
      </c>
      <c r="M15" s="309" t="s">
        <v>74</v>
      </c>
      <c r="N15" s="310"/>
      <c r="O15" s="24">
        <f>O14/O13</f>
        <v>3.6023054755043228E-2</v>
      </c>
      <c r="P15" s="21"/>
      <c r="R15" s="21"/>
    </row>
    <row r="16" spans="1:19" ht="15" thickBot="1" x14ac:dyDescent="0.35">
      <c r="A16" s="306"/>
      <c r="B16" s="306"/>
      <c r="C16" s="6"/>
      <c r="E16" s="4"/>
      <c r="F16" s="4"/>
      <c r="G16" s="131"/>
      <c r="I16" s="304" t="s">
        <v>7</v>
      </c>
      <c r="J16" s="305"/>
      <c r="K16" s="32">
        <v>3</v>
      </c>
      <c r="M16" s="309" t="s">
        <v>77</v>
      </c>
      <c r="N16" s="310"/>
      <c r="O16" s="25">
        <f>K14*O13*0.001</f>
        <v>2.1514000000000002</v>
      </c>
    </row>
    <row r="17" spans="1:15" x14ac:dyDescent="0.3">
      <c r="A17" s="306"/>
      <c r="B17" s="306"/>
      <c r="C17" s="6"/>
      <c r="E17" s="306"/>
      <c r="F17" s="306"/>
      <c r="G17" s="6"/>
      <c r="M17" s="309" t="s">
        <v>78</v>
      </c>
      <c r="N17" s="310"/>
      <c r="O17" s="24">
        <f>O16*O15</f>
        <v>7.7500000000000013E-2</v>
      </c>
    </row>
    <row r="18" spans="1:15" x14ac:dyDescent="0.3">
      <c r="M18" s="309" t="s">
        <v>79</v>
      </c>
      <c r="N18" s="310"/>
      <c r="O18" s="26">
        <f>O17*E35</f>
        <v>2.0002432295767165</v>
      </c>
    </row>
    <row r="19" spans="1:15" x14ac:dyDescent="0.3">
      <c r="M19" s="344" t="s">
        <v>80</v>
      </c>
      <c r="N19" s="345"/>
      <c r="O19" s="27">
        <f>(O16*I37*1000)/O13</f>
        <v>155000</v>
      </c>
    </row>
    <row r="20" spans="1:15" ht="15" thickBot="1" x14ac:dyDescent="0.35">
      <c r="M20" s="346"/>
      <c r="N20" s="347"/>
      <c r="O20" s="28">
        <f>O16*I37</f>
        <v>1075.7</v>
      </c>
    </row>
    <row r="21" spans="1:15" x14ac:dyDescent="0.3">
      <c r="C21" s="307" t="s">
        <v>81</v>
      </c>
      <c r="D21" s="53"/>
      <c r="E21" s="307" t="s">
        <v>81</v>
      </c>
      <c r="F21" s="307"/>
      <c r="G21" s="307" t="s">
        <v>81</v>
      </c>
      <c r="H21" s="307" t="s">
        <v>81</v>
      </c>
    </row>
    <row r="22" spans="1:15" x14ac:dyDescent="0.3">
      <c r="C22" s="307"/>
      <c r="D22" s="53"/>
      <c r="E22" s="307"/>
      <c r="F22" s="307"/>
      <c r="G22" s="307"/>
      <c r="H22" s="307"/>
    </row>
    <row r="23" spans="1:15" ht="15" thickBot="1" x14ac:dyDescent="0.35">
      <c r="C23" s="308"/>
      <c r="D23" s="53"/>
      <c r="E23" s="308"/>
      <c r="F23" s="308"/>
      <c r="G23" s="308"/>
      <c r="H23" s="308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9.6779768419839832E-2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(IF(A26="Substrate",(F26*G26)/1000,(D26*G26)/1000))*(1+table111[[#This Row],[Waste
%]])</f>
        <v>4.0480000000000002E-2</v>
      </c>
      <c r="J26" s="179">
        <f t="shared" si="0"/>
        <v>982.08</v>
      </c>
      <c r="K26" s="180">
        <f>table111[[#This Row],[Total GSM]]/$B$37</f>
        <v>1.612996140330664E-2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1.728210150354283E-2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2994.1164000000003</v>
      </c>
      <c r="K28" s="180">
        <f>table111[[#This Row],[Total GSM]]/$B$37</f>
        <v>0.14050348522380321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1.728210150354283E-2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0.52998444610864681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</v>
      </c>
      <c r="K31" s="180">
        <f>table111[[#This Row],[Total GSM]]/$B$37</f>
        <v>2.3042802004723775E-2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0.15899533383259404</v>
      </c>
    </row>
    <row r="33" spans="1:14" ht="15" thickBot="1" x14ac:dyDescent="0.35">
      <c r="A33" s="348" t="s">
        <v>38</v>
      </c>
      <c r="B33" s="349"/>
      <c r="C33" s="349"/>
      <c r="D33" s="349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8.6999999999999994E-3</v>
      </c>
      <c r="J33" s="199">
        <f>(SUMIFS(table111[Est.
Required Kgs],table111[Type], "Ink") + SUMIFS(table111[Est.
Required Kgs],table111[Material], "Solvent Base"))*$F$33</f>
        <v>1718.64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1.0597680097680098</v>
      </c>
      <c r="C35" s="299" t="s">
        <v>66</v>
      </c>
      <c r="D35" s="299"/>
      <c r="E35" s="35">
        <f>IF(C5="Roll", (1000/(C13*C14*B37*0.001*0.001))*C16, IF(C5="Sleeve", (1000/(G14*G15*B37*0.001*0.001))*1, IF(C5="Bag or Pouch", (1000/(K14*K13*B37*0.001*0.001))*1, "")))</f>
        <v>25.809590059054404</v>
      </c>
      <c r="F35" s="299" t="s">
        <v>65</v>
      </c>
      <c r="G35" s="299"/>
      <c r="H35" s="299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163.80000000000001</v>
      </c>
      <c r="C36" s="299" t="s">
        <v>59</v>
      </c>
      <c r="D36" s="299"/>
      <c r="E36" s="15">
        <f>1000/E35</f>
        <v>38.745288000000002</v>
      </c>
      <c r="F36" s="299" t="s">
        <v>88</v>
      </c>
      <c r="G36" s="299"/>
      <c r="H36" s="299"/>
      <c r="I36" s="38">
        <f>IF(UnitsDD="Kgs", I5,
 IF(UnitsDD="Kpcs", I5*E36,
 IF(UnitsDD="SQM", I5/E37,
 IF(UnitsDD="LM", I5/E39,
 IF(UnitsDD="Roll 500 LM", (I5/E39)*500, "")))))</f>
        <v>19372.644</v>
      </c>
      <c r="K36" s="13"/>
    </row>
    <row r="37" spans="1:14" x14ac:dyDescent="0.3">
      <c r="A37" s="2" t="s">
        <v>15</v>
      </c>
      <c r="B37" s="37">
        <f>SUM(F25:F32)</f>
        <v>173.59</v>
      </c>
      <c r="C37" s="299" t="s">
        <v>60</v>
      </c>
      <c r="D37" s="299"/>
      <c r="E37" s="15">
        <f>1000/B37</f>
        <v>5.7607005011809438</v>
      </c>
      <c r="F37" s="299" t="s">
        <v>89</v>
      </c>
      <c r="G37" s="299"/>
      <c r="H37" s="299"/>
      <c r="I37" s="38">
        <f>(I36*1000)/E36/1000</f>
        <v>500</v>
      </c>
    </row>
    <row r="38" spans="1:14" x14ac:dyDescent="0.3">
      <c r="A38" s="2" t="s">
        <v>83</v>
      </c>
      <c r="B38" s="16">
        <f>SUM(I25:I32)+I33</f>
        <v>0.38158350000000002</v>
      </c>
      <c r="C38" s="299" t="s">
        <v>86</v>
      </c>
      <c r="D38" s="299"/>
      <c r="E38" s="15">
        <f>(E37/I35)*1000</f>
        <v>6.063895264400994</v>
      </c>
      <c r="F38" s="299" t="s">
        <v>87</v>
      </c>
      <c r="G38" s="299"/>
      <c r="H38" s="299"/>
      <c r="I38" s="38">
        <f>I36*E38</f>
        <v>117473.68421052633</v>
      </c>
    </row>
    <row r="39" spans="1:14" x14ac:dyDescent="0.3">
      <c r="C39" s="299" t="s">
        <v>61</v>
      </c>
      <c r="D39" s="299"/>
      <c r="E39" s="15">
        <f>IF(C5="Roll", ((E37/C13)*1000), IF(C5="Sleeve", ((E37/G14)*1000), IF(C5="Bag or Pouch", ((E37/K13)*1000), "")))</f>
        <v>8.0009729183068661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301" t="s">
        <v>92</v>
      </c>
      <c r="B44" s="302"/>
      <c r="C44" s="303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286" t="s">
        <v>62</v>
      </c>
      <c r="B46" s="286"/>
      <c r="C46" s="286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286" t="s">
        <v>63</v>
      </c>
      <c r="B47" s="286"/>
      <c r="C47" s="286"/>
      <c r="D47" s="95">
        <f>IF(C5="Roll",(((D46/2)^2-(D44/2)^2)*PI()*C13*B35/1000000),IF(C5="Sleeve",(((D46/2)^2-(D44/2)^2)*PI()*G14*B35/1000000),IF(C5="Bag or Pouch",(((D46/2)^2-(D44/2)^2)*PI()*K13*B35/1000000))))</f>
        <v>35.372179596826548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286" t="s">
        <v>48</v>
      </c>
      <c r="B48" s="286"/>
      <c r="C48" s="286"/>
      <c r="D48" s="96">
        <f>IF(C5="Roll",((D47*1000/B35)/((B36/10000)*(C13/10))/100),IF(C5="Sleeve",((D47*1000/B35)/((B36/10000)*(G14/10))/100),IF(C5="Bag or Pouch",((D47*1000/B35)/((B36/10000)*(K13/10))/100))))</f>
        <v>283.01185101569587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86" t="s">
        <v>85</v>
      </c>
      <c r="B49" s="286"/>
      <c r="C49" s="286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86" t="s">
        <v>64</v>
      </c>
      <c r="B50" s="286"/>
      <c r="C50" s="286"/>
      <c r="D50" s="98">
        <f>(D47*E35)</f>
        <v>912.94145488934146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86" t="s">
        <v>93</v>
      </c>
      <c r="B52" s="286"/>
      <c r="C52" s="286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86" t="s">
        <v>49</v>
      </c>
      <c r="B53" s="286"/>
      <c r="C53" s="286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632.25705038862782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33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34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34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34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34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34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34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34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34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42.166666666666664</v>
      </c>
      <c r="F69" s="122">
        <v>100</v>
      </c>
      <c r="G69" s="123">
        <f>F69*E69</f>
        <v>4216.6666666666661</v>
      </c>
      <c r="H69" s="335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0.88051692336010412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90"/>
      <c r="C73" s="291" t="s">
        <v>41</v>
      </c>
      <c r="D73" s="80" t="s">
        <v>91</v>
      </c>
      <c r="E73" s="293" t="s">
        <v>42</v>
      </c>
      <c r="F73" s="295" t="s">
        <v>43</v>
      </c>
      <c r="G73" s="295" t="s">
        <v>107</v>
      </c>
      <c r="H73" s="284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90"/>
      <c r="C74" s="292"/>
      <c r="D74" s="181">
        <v>0.3</v>
      </c>
      <c r="E74" s="294"/>
      <c r="F74" s="296"/>
      <c r="G74" s="296"/>
      <c r="H74" s="285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2.1981882596923783</v>
      </c>
      <c r="D75" s="183">
        <f>C75*D74</f>
        <v>0.65945647790771345</v>
      </c>
      <c r="E75" s="184">
        <v>0.1</v>
      </c>
      <c r="F75" s="184">
        <v>0.2</v>
      </c>
      <c r="G75" s="184">
        <f>H70</f>
        <v>0.88051692336010412</v>
      </c>
      <c r="H75" s="186">
        <f>SUM(C75:G75)</f>
        <v>4.0381616609601965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85.169437200000004</v>
      </c>
      <c r="D76" s="91">
        <f>(D75/$E$35)*1000</f>
        <v>25.550831159999998</v>
      </c>
      <c r="E76" s="91">
        <f>(E75/$E$35)*1000</f>
        <v>3.8745288000000007</v>
      </c>
      <c r="F76" s="91">
        <f>(F75/$E$35)*1000</f>
        <v>7.7490576000000013</v>
      </c>
      <c r="G76" s="91">
        <f>(G75/$E$35)*1000</f>
        <v>34.115881784461166</v>
      </c>
      <c r="H76" s="188">
        <f>SUM(C76:G76)</f>
        <v>156.45973654446118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0.38158349999999991</v>
      </c>
      <c r="D77" s="92">
        <f t="shared" ref="D77:G77" si="4">(D75/$E$37)</f>
        <v>0.11447504999999997</v>
      </c>
      <c r="E77" s="92">
        <f t="shared" si="4"/>
        <v>1.7358999999999999E-2</v>
      </c>
      <c r="F77" s="92">
        <f t="shared" si="4"/>
        <v>3.4717999999999999E-2</v>
      </c>
      <c r="G77" s="92">
        <f t="shared" si="4"/>
        <v>0.15284893272608047</v>
      </c>
      <c r="H77" s="189">
        <f>SUM(C77:G77)</f>
        <v>0.70098448272608038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0.27474011999999998</v>
      </c>
      <c r="D78" s="92">
        <f>(D75/$E$39)</f>
        <v>8.242203599999999E-2</v>
      </c>
      <c r="E78" s="92">
        <f>(E75/$E$39)</f>
        <v>1.2498480000000001E-2</v>
      </c>
      <c r="F78" s="92">
        <f>(F75/$E$39)</f>
        <v>2.4996960000000002E-2</v>
      </c>
      <c r="G78" s="92">
        <f>(G75/$E$39)</f>
        <v>0.11005123156277795</v>
      </c>
      <c r="H78" s="189">
        <f>SUM(C78:G78)</f>
        <v>0.50470882756277791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137.37006</v>
      </c>
      <c r="D79" s="191">
        <f>D78*500</f>
        <v>41.211017999999996</v>
      </c>
      <c r="E79" s="191">
        <f t="shared" ref="E79:G79" si="5">E78*500</f>
        <v>6.2492400000000004</v>
      </c>
      <c r="F79" s="191">
        <f t="shared" si="5"/>
        <v>12.498480000000001</v>
      </c>
      <c r="G79" s="191">
        <f t="shared" si="5"/>
        <v>55.025615781388971</v>
      </c>
      <c r="H79" s="192">
        <f>SUM(C79:G79)</f>
        <v>252.35441378138896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78"/>
      <c r="I82" s="278"/>
      <c r="J82" s="278"/>
      <c r="K82" s="41"/>
      <c r="L82" s="41"/>
      <c r="M82" s="41"/>
      <c r="N82" s="41"/>
    </row>
    <row r="83" spans="1:21" ht="18" x14ac:dyDescent="0.35">
      <c r="A83" s="54"/>
      <c r="B83" s="279" t="s">
        <v>136</v>
      </c>
      <c r="C83" s="279"/>
      <c r="D83" s="279"/>
      <c r="E83" s="279"/>
      <c r="F83" s="279"/>
      <c r="G83" s="279"/>
      <c r="H83" s="279"/>
      <c r="I83" s="279"/>
      <c r="J83" s="279"/>
      <c r="K83" s="279"/>
      <c r="L83" s="279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36" t="s">
        <v>146</v>
      </c>
      <c r="I87" s="337"/>
      <c r="J87" s="17" t="s">
        <v>148</v>
      </c>
      <c r="K87" s="338" t="s">
        <v>147</v>
      </c>
      <c r="L87" s="339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40">
        <f>C75+H70</f>
        <v>3.0787051830524823</v>
      </c>
      <c r="I88" s="341"/>
      <c r="J88" s="162">
        <f>(K88-H88)/H88</f>
        <v>6.0858781331305026E-2</v>
      </c>
      <c r="K88" s="342">
        <f>E106+E122</f>
        <v>3.2660714285714287</v>
      </c>
      <c r="L88" s="343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7.4708171206225679E-2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4.5999999999999996</v>
      </c>
      <c r="E92" s="147">
        <f t="shared" ref="E92:E104" si="8">IFERROR(D92*C92,"")</f>
        <v>3219.9999999999995</v>
      </c>
      <c r="F92" s="163">
        <f t="shared" ref="F92:F104" si="9">IFERROR(E92/$E$105,"")</f>
        <v>0.10023346303501944</v>
      </c>
      <c r="P92" s="222"/>
      <c r="Q92" s="281" t="s">
        <v>159</v>
      </c>
      <c r="R92" s="281"/>
      <c r="S92" s="112">
        <f>H75</f>
        <v>4.0381616609601965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5.2140077821011675E-2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0.2396887159533074</v>
      </c>
      <c r="P94" s="222"/>
      <c r="R94" s="215" t="s">
        <v>45</v>
      </c>
      <c r="S94" s="216" t="s">
        <v>160</v>
      </c>
      <c r="T94" s="282" t="s">
        <v>148</v>
      </c>
      <c r="U94" s="283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3.1128404669260701E-2</v>
      </c>
      <c r="P95" s="222"/>
      <c r="Q95" s="212" t="s">
        <v>161</v>
      </c>
      <c r="R95" s="175">
        <f>C75+H70</f>
        <v>3.0787051830524823</v>
      </c>
      <c r="S95" s="211">
        <f>R95/S92</f>
        <v>0.76240265782733074</v>
      </c>
      <c r="T95" s="274">
        <f>R96-R95</f>
        <v>0.18736624551894643</v>
      </c>
      <c r="U95" s="276">
        <f>(R96-R95)/R95</f>
        <v>6.0858781331305026E-2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0.29883268482490272</v>
      </c>
      <c r="K96" s="2"/>
      <c r="L96" s="2"/>
      <c r="P96" s="222"/>
      <c r="Q96" s="212" t="s">
        <v>158</v>
      </c>
      <c r="R96" s="175">
        <f>E106+E122</f>
        <v>3.2660714285714287</v>
      </c>
      <c r="S96" s="211">
        <f>R96/S92</f>
        <v>0.80880155446645008</v>
      </c>
      <c r="T96" s="275"/>
      <c r="U96" s="276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3.9844357976653699E-2</v>
      </c>
      <c r="L97" s="43"/>
      <c r="P97" s="222"/>
      <c r="Q97" s="219" t="s">
        <v>156</v>
      </c>
      <c r="R97" s="217">
        <f>S92-R95</f>
        <v>0.95945647790771416</v>
      </c>
      <c r="S97" s="218">
        <f>R97/S92</f>
        <v>0.23759734217266923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9.3385214007782102E-2</v>
      </c>
      <c r="I98" s="3"/>
      <c r="P98" s="222"/>
      <c r="Q98" s="212" t="s">
        <v>157</v>
      </c>
      <c r="R98" s="175">
        <f>S92-R96</f>
        <v>0.77209023238876773</v>
      </c>
      <c r="S98" s="211">
        <f>R98/S92</f>
        <v>0.19119844553354995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7.0038910505836577E-2</v>
      </c>
      <c r="P104" s="222"/>
    </row>
    <row r="105" spans="2:19" x14ac:dyDescent="0.3">
      <c r="B105" s="41"/>
      <c r="E105" s="141">
        <f>SUM(E91:E104)</f>
        <v>32125</v>
      </c>
      <c r="P105" s="222"/>
    </row>
    <row r="106" spans="2:19" x14ac:dyDescent="0.3">
      <c r="B106" s="41"/>
      <c r="D106" s="87" t="s">
        <v>141</v>
      </c>
      <c r="E106" s="140">
        <f>E105/C85</f>
        <v>2.2946428571428572</v>
      </c>
      <c r="P106" s="222"/>
    </row>
    <row r="107" spans="2:19" x14ac:dyDescent="0.3">
      <c r="B107" s="41"/>
      <c r="D107" s="87" t="s">
        <v>142</v>
      </c>
      <c r="E107" s="159">
        <f>(E106-C75)/C75</f>
        <v>4.3879134112005988E-2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277" t="s">
        <v>145</v>
      </c>
      <c r="C122" s="277"/>
      <c r="D122" s="277"/>
      <c r="E122" s="140">
        <f>E121/C85</f>
        <v>0.97142857142857142</v>
      </c>
      <c r="P122" s="222"/>
    </row>
    <row r="123" spans="2:16" x14ac:dyDescent="0.3">
      <c r="B123" s="277" t="s">
        <v>142</v>
      </c>
      <c r="C123" s="277"/>
      <c r="D123" s="277"/>
      <c r="E123" s="159">
        <f>(E122-H70)/H70</f>
        <v>0.10324804175431759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B122:D122"/>
    <mergeCell ref="B123:D123"/>
    <mergeCell ref="B83:L83"/>
    <mergeCell ref="H87:I87"/>
    <mergeCell ref="K87:L87"/>
    <mergeCell ref="H88:I88"/>
    <mergeCell ref="K88:L88"/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N10:O10"/>
    <mergeCell ref="P10:Q10"/>
    <mergeCell ref="A12:C12"/>
    <mergeCell ref="E12:G12"/>
    <mergeCell ref="I12:K12"/>
    <mergeCell ref="M12:O12"/>
    <mergeCell ref="A13:B13"/>
    <mergeCell ref="E13:F13"/>
    <mergeCell ref="I13:J13"/>
    <mergeCell ref="M13:N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36:D36"/>
    <mergeCell ref="F38:H38"/>
    <mergeCell ref="C37:D37"/>
    <mergeCell ref="F37:H37"/>
    <mergeCell ref="C38:D38"/>
    <mergeCell ref="C21:C23"/>
    <mergeCell ref="E21:E23"/>
    <mergeCell ref="F21:F23"/>
    <mergeCell ref="A33:D33"/>
    <mergeCell ref="C35:D35"/>
    <mergeCell ref="F35:H35"/>
    <mergeCell ref="M18:N18"/>
    <mergeCell ref="M19:N20"/>
    <mergeCell ref="F36:H36"/>
    <mergeCell ref="G21:G23"/>
    <mergeCell ref="H21:H23"/>
    <mergeCell ref="C39:D39"/>
    <mergeCell ref="A44:C44"/>
    <mergeCell ref="A46:C46"/>
    <mergeCell ref="A53:C53"/>
    <mergeCell ref="A47:C47"/>
    <mergeCell ref="A48:C48"/>
    <mergeCell ref="A49:C49"/>
    <mergeCell ref="A50:C50"/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topLeftCell="B1" workbookViewId="0">
      <selection activeCell="M16" sqref="M16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53" t="s">
        <v>208</v>
      </c>
      <c r="H1" s="353"/>
      <c r="I1" s="353"/>
      <c r="J1" s="353"/>
      <c r="K1" s="353" t="s">
        <v>207</v>
      </c>
      <c r="L1" s="353"/>
      <c r="M1" s="353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54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54"/>
    </row>
    <row r="9" spans="2:17" x14ac:dyDescent="0.3">
      <c r="N9" t="s">
        <v>211</v>
      </c>
      <c r="O9" t="s">
        <v>200</v>
      </c>
      <c r="P9" s="19" t="s">
        <v>195</v>
      </c>
      <c r="Q9" s="354"/>
    </row>
    <row r="10" spans="2:17" x14ac:dyDescent="0.3">
      <c r="N10" t="s">
        <v>212</v>
      </c>
      <c r="O10" t="s">
        <v>197</v>
      </c>
      <c r="P10" s="19" t="s">
        <v>164</v>
      </c>
      <c r="Q10" s="354"/>
    </row>
    <row r="11" spans="2:17" x14ac:dyDescent="0.3">
      <c r="N11" t="s">
        <v>213</v>
      </c>
      <c r="O11" t="s">
        <v>198</v>
      </c>
      <c r="P11" s="19" t="s">
        <v>192</v>
      </c>
      <c r="Q11" s="354"/>
    </row>
    <row r="12" spans="2:17" x14ac:dyDescent="0.3">
      <c r="N12" t="s">
        <v>217</v>
      </c>
      <c r="O12" t="s">
        <v>216</v>
      </c>
      <c r="P12" s="19" t="s">
        <v>193</v>
      </c>
      <c r="Q12" s="354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6640625" bestFit="1" customWidth="1"/>
    <col min="9" max="9" width="23.33203125" customWidth="1"/>
    <col min="10" max="10" width="9.33203125" bestFit="1" customWidth="1"/>
    <col min="11" max="12" width="7.6640625" bestFit="1" customWidth="1"/>
    <col min="13" max="13" width="9" bestFit="1" customWidth="1"/>
    <col min="14" max="14" width="14" bestFit="1" customWidth="1"/>
    <col min="15" max="15" width="10.33203125" bestFit="1" customWidth="1"/>
  </cols>
  <sheetData>
    <row r="1" spans="1:15" ht="27.6" x14ac:dyDescent="0.3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x14ac:dyDescent="0.3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x14ac:dyDescent="0.3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x14ac:dyDescent="0.3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x14ac:dyDescent="0.3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3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x14ac:dyDescent="0.3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x14ac:dyDescent="0.3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x14ac:dyDescent="0.3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x14ac:dyDescent="0.3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x14ac:dyDescent="0.3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x14ac:dyDescent="0.3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3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3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3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3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3">
      <c r="G17" s="231" t="s">
        <v>121</v>
      </c>
      <c r="I17" s="234" t="s">
        <v>244</v>
      </c>
    </row>
    <row r="18" spans="7:9" x14ac:dyDescent="0.3">
      <c r="G18" s="231" t="s">
        <v>122</v>
      </c>
      <c r="I18" s="234" t="s">
        <v>245</v>
      </c>
    </row>
    <row r="19" spans="7:9" x14ac:dyDescent="0.3">
      <c r="G19" s="229" t="s">
        <v>22</v>
      </c>
      <c r="I19" s="229" t="s">
        <v>22</v>
      </c>
    </row>
    <row r="20" spans="7:9" x14ac:dyDescent="0.3">
      <c r="G20" s="230" t="s">
        <v>23</v>
      </c>
      <c r="I20" s="230" t="s">
        <v>23</v>
      </c>
    </row>
    <row r="21" spans="7:9" x14ac:dyDescent="0.3">
      <c r="G21" s="231" t="s">
        <v>111</v>
      </c>
      <c r="I21" s="7" t="s">
        <v>246</v>
      </c>
    </row>
    <row r="22" spans="7:9" x14ac:dyDescent="0.3">
      <c r="G22" s="23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EA5-211E-42DB-B908-1C8FEC7CF710}">
  <dimension ref="G7:T25"/>
  <sheetViews>
    <sheetView topLeftCell="A6" zoomScale="70" zoomScaleNormal="70" workbookViewId="0">
      <selection activeCell="V8" sqref="V8"/>
    </sheetView>
  </sheetViews>
  <sheetFormatPr defaultRowHeight="14.4" x14ac:dyDescent="0.3"/>
  <cols>
    <col min="7" max="7" width="5" customWidth="1"/>
    <col min="8" max="8" width="7.77734375" bestFit="1" customWidth="1"/>
    <col min="9" max="9" width="8.6640625" customWidth="1"/>
    <col min="10" max="10" width="9" customWidth="1"/>
    <col min="11" max="11" width="6.5546875" customWidth="1"/>
    <col min="12" max="12" width="7.21875" customWidth="1"/>
    <col min="13" max="13" width="6.33203125" customWidth="1"/>
    <col min="14" max="14" width="5.6640625" customWidth="1"/>
    <col min="18" max="18" width="12.33203125" customWidth="1"/>
  </cols>
  <sheetData>
    <row r="7" spans="7:14" ht="22.8" x14ac:dyDescent="0.3">
      <c r="G7" s="270" t="s">
        <v>325</v>
      </c>
      <c r="H7" s="270" t="s">
        <v>11</v>
      </c>
      <c r="I7" s="270" t="s">
        <v>326</v>
      </c>
      <c r="J7" s="270" t="s">
        <v>327</v>
      </c>
      <c r="K7" s="270" t="s">
        <v>329</v>
      </c>
      <c r="L7" s="270" t="s">
        <v>15</v>
      </c>
      <c r="M7" s="270" t="s">
        <v>330</v>
      </c>
      <c r="N7" s="270" t="s">
        <v>18</v>
      </c>
    </row>
    <row r="8" spans="7:14" ht="14.4" customHeight="1" x14ac:dyDescent="0.3">
      <c r="G8" s="355">
        <v>1</v>
      </c>
      <c r="H8" s="356" t="s">
        <v>34</v>
      </c>
      <c r="I8" s="356" t="s">
        <v>328</v>
      </c>
      <c r="J8" s="356" t="s">
        <v>328</v>
      </c>
      <c r="K8" s="356" t="s">
        <v>328</v>
      </c>
      <c r="L8" s="356" t="s">
        <v>331</v>
      </c>
      <c r="M8" s="356" t="s">
        <v>328</v>
      </c>
      <c r="N8" s="356" t="s">
        <v>331</v>
      </c>
    </row>
    <row r="9" spans="7:14" x14ac:dyDescent="0.3">
      <c r="G9" s="355"/>
      <c r="H9" s="356"/>
      <c r="I9" s="356"/>
      <c r="J9" s="356"/>
      <c r="K9" s="356"/>
      <c r="L9" s="356"/>
      <c r="M9" s="356"/>
      <c r="N9" s="356"/>
    </row>
    <row r="17" spans="7:20" ht="55.2" x14ac:dyDescent="0.3">
      <c r="G17" s="268" t="s">
        <v>37</v>
      </c>
      <c r="H17" s="268" t="s">
        <v>14</v>
      </c>
      <c r="I17" s="268" t="s">
        <v>15</v>
      </c>
      <c r="J17" s="268" t="s">
        <v>16</v>
      </c>
      <c r="K17" s="268" t="s">
        <v>17</v>
      </c>
      <c r="L17" s="268" t="s">
        <v>18</v>
      </c>
      <c r="M17" s="268" t="s">
        <v>19</v>
      </c>
      <c r="N17" s="269" t="s">
        <v>39</v>
      </c>
    </row>
    <row r="20" spans="7:20" x14ac:dyDescent="0.3">
      <c r="Q20" s="271" t="s">
        <v>326</v>
      </c>
      <c r="R20" s="271" t="s">
        <v>203</v>
      </c>
      <c r="S20" s="271" t="s">
        <v>14</v>
      </c>
      <c r="T20" s="271" t="s">
        <v>220</v>
      </c>
    </row>
    <row r="21" spans="7:20" x14ac:dyDescent="0.3">
      <c r="Q21" s="272" t="s">
        <v>238</v>
      </c>
      <c r="R21" s="272" t="s">
        <v>332</v>
      </c>
      <c r="S21" s="272">
        <v>0.9</v>
      </c>
      <c r="T21" s="272">
        <v>0</v>
      </c>
    </row>
    <row r="22" spans="7:20" x14ac:dyDescent="0.3">
      <c r="Q22" s="272" t="s">
        <v>238</v>
      </c>
      <c r="R22" s="272" t="s">
        <v>333</v>
      </c>
      <c r="S22" s="272">
        <v>0.79</v>
      </c>
      <c r="T22" s="272">
        <v>0</v>
      </c>
    </row>
    <row r="23" spans="7:20" x14ac:dyDescent="0.3">
      <c r="Q23" s="272" t="s">
        <v>238</v>
      </c>
      <c r="R23" s="272" t="s">
        <v>334</v>
      </c>
      <c r="S23" s="272">
        <v>0.79</v>
      </c>
      <c r="T23" s="272">
        <v>0</v>
      </c>
    </row>
    <row r="24" spans="7:20" x14ac:dyDescent="0.3">
      <c r="Q24" s="272" t="s">
        <v>238</v>
      </c>
      <c r="R24" s="272" t="s">
        <v>335</v>
      </c>
      <c r="S24" s="272">
        <v>0.8</v>
      </c>
      <c r="T24" s="272">
        <v>0</v>
      </c>
    </row>
    <row r="25" spans="7:20" x14ac:dyDescent="0.3">
      <c r="Q25" s="272" t="s">
        <v>238</v>
      </c>
      <c r="R25" s="272" t="s">
        <v>336</v>
      </c>
      <c r="S25" s="272">
        <v>0.87</v>
      </c>
      <c r="T25" s="272">
        <v>0</v>
      </c>
    </row>
  </sheetData>
  <mergeCells count="8">
    <mergeCell ref="G8:G9"/>
    <mergeCell ref="H8:H9"/>
    <mergeCell ref="M8:M9"/>
    <mergeCell ref="N8:N9"/>
    <mergeCell ref="I8:I9"/>
    <mergeCell ref="J8:J9"/>
    <mergeCell ref="K8:K9"/>
    <mergeCell ref="L8:L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74</vt:i4>
      </vt:variant>
    </vt:vector>
  </HeadingPairs>
  <TitlesOfParts>
    <vt:vector size="84" baseType="lpstr">
      <vt:lpstr>PE Bag</vt:lpstr>
      <vt:lpstr>Substrate Costing Master</vt:lpstr>
      <vt:lpstr>Sheet3</vt:lpstr>
      <vt:lpstr>Roll</vt:lpstr>
      <vt:lpstr>Data</vt:lpstr>
      <vt:lpstr>Sleeve</vt:lpstr>
      <vt:lpstr>Pouch</vt:lpstr>
      <vt:lpstr>Overall</vt:lpstr>
      <vt:lpstr>Sheet1</vt:lpstr>
      <vt:lpstr>Sheet2</vt:lpstr>
      <vt:lpstr>'PE Bag'!Adhesive</vt:lpstr>
      <vt:lpstr>Pouch!Adhesive</vt:lpstr>
      <vt:lpstr>Roll!Adhesive</vt:lpstr>
      <vt:lpstr>Sleeve!Adhesive</vt:lpstr>
      <vt:lpstr>Adhesive</vt:lpstr>
      <vt:lpstr>'PE Bag'!CO_Pouch</vt:lpstr>
      <vt:lpstr>Pouch!CO_Pouch</vt:lpstr>
      <vt:lpstr>Roll!CO_Pouch</vt:lpstr>
      <vt:lpstr>CO_Pouch</vt:lpstr>
      <vt:lpstr>'PE Bag'!CO_Roll</vt:lpstr>
      <vt:lpstr>Pouch!CO_Roll</vt:lpstr>
      <vt:lpstr>Roll!CO_Roll</vt:lpstr>
      <vt:lpstr>CO_Roll</vt:lpstr>
      <vt:lpstr>'PE Bag'!CO_Sleeve</vt:lpstr>
      <vt:lpstr>Pouch!CO_Sleeve</vt:lpstr>
      <vt:lpstr>Roll!CO_Sleeve</vt:lpstr>
      <vt:lpstr>CO_Sleeve</vt:lpstr>
      <vt:lpstr>'PE Bag'!FLW</vt:lpstr>
      <vt:lpstr>Pouch!FLW</vt:lpstr>
      <vt:lpstr>Roll!FLW</vt:lpstr>
      <vt:lpstr>FLW</vt:lpstr>
      <vt:lpstr>Forms</vt:lpstr>
      <vt:lpstr>'PE Bag'!Ink</vt:lpstr>
      <vt:lpstr>Pouch!Ink</vt:lpstr>
      <vt:lpstr>Roll!Ink</vt:lpstr>
      <vt:lpstr>Sleeve!Ink</vt:lpstr>
      <vt:lpstr>Ink</vt:lpstr>
      <vt:lpstr>'PE Bag'!Nb_Ups_Sleeve</vt:lpstr>
      <vt:lpstr>Pouch!Nb_Ups_Sleeve</vt:lpstr>
      <vt:lpstr>Roll!Nb_Ups_Sleeve</vt:lpstr>
      <vt:lpstr>Nb_Ups_Sleeve</vt:lpstr>
      <vt:lpstr>'PE Bag'!OQKG</vt:lpstr>
      <vt:lpstr>Pouch!OQKG</vt:lpstr>
      <vt:lpstr>Roll!OQKG</vt:lpstr>
      <vt:lpstr>OQKG</vt:lpstr>
      <vt:lpstr>'PE Bag'!OQM</vt:lpstr>
      <vt:lpstr>Pouch!OQM</vt:lpstr>
      <vt:lpstr>Roll!OQM</vt:lpstr>
      <vt:lpstr>OQM</vt:lpstr>
      <vt:lpstr>'PE Bag'!Packaging</vt:lpstr>
      <vt:lpstr>Packaging</vt:lpstr>
      <vt:lpstr>'PE Bag'!Print_Area</vt:lpstr>
      <vt:lpstr>Pouch!Print_Area</vt:lpstr>
      <vt:lpstr>Roll!Print_Area</vt:lpstr>
      <vt:lpstr>Sleeve!Print_Area</vt:lpstr>
      <vt:lpstr>'PE Bag'!Ptypes</vt:lpstr>
      <vt:lpstr>Pouch!Ptypes</vt:lpstr>
      <vt:lpstr>Roll!Ptypes</vt:lpstr>
      <vt:lpstr>Sleeve!Ptypes</vt:lpstr>
      <vt:lpstr>Ptypes</vt:lpstr>
      <vt:lpstr>'PE Bag'!Substrate</vt:lpstr>
      <vt:lpstr>Pouch!Substrate</vt:lpstr>
      <vt:lpstr>Roll!Substrate</vt:lpstr>
      <vt:lpstr>Sleeve!Substrate</vt:lpstr>
      <vt:lpstr>Substrate</vt:lpstr>
      <vt:lpstr>'PE Bag'!Substrates</vt:lpstr>
      <vt:lpstr>Pouch!Substrates</vt:lpstr>
      <vt:lpstr>Roll!Substrates</vt:lpstr>
      <vt:lpstr>Sleeve!Substrates</vt:lpstr>
      <vt:lpstr>Substrates</vt:lpstr>
      <vt:lpstr>'PE Bag'!Type</vt:lpstr>
      <vt:lpstr>Pouch!Type</vt:lpstr>
      <vt:lpstr>Roll!Type</vt:lpstr>
      <vt:lpstr>Sleeve!Type</vt:lpstr>
      <vt:lpstr>Type</vt:lpstr>
      <vt:lpstr>'PE Bag'!Unit</vt:lpstr>
      <vt:lpstr>Pouch!Unit</vt:lpstr>
      <vt:lpstr>Roll!Unit</vt:lpstr>
      <vt:lpstr>Sleeve!Unit</vt:lpstr>
      <vt:lpstr>Unit</vt:lpstr>
      <vt:lpstr>'PE Bag'!UnitsDD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2026-06-29T14:22:16Z</dcterms:modified>
</cp:coreProperties>
</file>