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B5713E9E-8306-43E3-B4F7-3CF45A8A439D}" xr6:coauthVersionLast="47" xr6:coauthVersionMax="47" xr10:uidLastSave="{00000000-0000-0000-0000-000000000000}"/>
  <bookViews>
    <workbookView xWindow="-108" yWindow="-108" windowWidth="23256" windowHeight="12456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1" l="1"/>
  <c r="L20" i="11"/>
  <c r="K25" i="11" l="1"/>
  <c r="L18" i="11"/>
  <c r="I25" i="11"/>
  <c r="B120" i="1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D104" i="11"/>
  <c r="E104" i="11" s="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E92" i="11"/>
  <c r="D92" i="11"/>
  <c r="B92" i="11"/>
  <c r="B91" i="11"/>
  <c r="G69" i="11"/>
  <c r="G68" i="11"/>
  <c r="G67" i="11"/>
  <c r="D49" i="11"/>
  <c r="I36" i="11"/>
  <c r="I35" i="11"/>
  <c r="G31" i="11"/>
  <c r="G26" i="11"/>
  <c r="I26" i="11" s="1"/>
  <c r="E26" i="11"/>
  <c r="C26" i="11"/>
  <c r="F26" i="11" s="1"/>
  <c r="E25" i="11"/>
  <c r="F25" i="11" s="1"/>
  <c r="C25" i="11"/>
  <c r="F26" i="4"/>
  <c r="I25" i="4"/>
  <c r="D91" i="11" l="1"/>
  <c r="E91" i="11" s="1"/>
  <c r="E121" i="11"/>
  <c r="E122" i="11" s="1"/>
  <c r="F111" i="11"/>
  <c r="F115" i="11"/>
  <c r="F116" i="11"/>
  <c r="F118" i="11"/>
  <c r="F117" i="11"/>
  <c r="F113" i="11"/>
  <c r="I31" i="11"/>
  <c r="B36" i="11"/>
  <c r="B102" i="11" s="1"/>
  <c r="D102" i="11" s="1"/>
  <c r="E102" i="11" s="1"/>
  <c r="F112" i="11"/>
  <c r="B37" i="11"/>
  <c r="J25" i="11" s="1"/>
  <c r="F114" i="11"/>
  <c r="F119" i="11"/>
  <c r="E60" i="11"/>
  <c r="G60" i="11" s="1"/>
  <c r="F120" i="11"/>
  <c r="E9" i="9"/>
  <c r="H7" i="9"/>
  <c r="H8" i="9"/>
  <c r="H9" i="9" s="1"/>
  <c r="K7" i="9" s="1"/>
  <c r="H6" i="9"/>
  <c r="D2" i="8"/>
  <c r="B38" i="11" l="1"/>
  <c r="C75" i="11" s="1"/>
  <c r="D75" i="11" s="1"/>
  <c r="J26" i="11"/>
  <c r="J31" i="11" s="1"/>
  <c r="K26" i="11"/>
  <c r="B103" i="11"/>
  <c r="D103" i="11" s="1"/>
  <c r="E103" i="11" s="1"/>
  <c r="E35" i="11"/>
  <c r="B35" i="11"/>
  <c r="E37" i="11"/>
  <c r="I9" i="9"/>
  <c r="K6" i="9"/>
  <c r="K8" i="9"/>
  <c r="C77" i="11" l="1"/>
  <c r="D47" i="11"/>
  <c r="D53" i="11"/>
  <c r="B101" i="11"/>
  <c r="D101" i="11" s="1"/>
  <c r="E101" i="11" s="1"/>
  <c r="F76" i="11"/>
  <c r="E36" i="11"/>
  <c r="I37" i="11" s="1"/>
  <c r="E76" i="11"/>
  <c r="C76" i="11"/>
  <c r="D76" i="11"/>
  <c r="D77" i="11"/>
  <c r="E38" i="11"/>
  <c r="I38" i="11" s="1"/>
  <c r="E77" i="11"/>
  <c r="E39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H75" i="11"/>
  <c r="S92" i="11" s="1"/>
  <c r="S95" i="11" s="1"/>
  <c r="R96" i="11"/>
  <c r="E107" i="11"/>
  <c r="D95" i="5"/>
  <c r="E95" i="5" s="1"/>
  <c r="D93" i="5"/>
  <c r="E93" i="5" s="1"/>
  <c r="D97" i="5"/>
  <c r="E97" i="5" s="1"/>
  <c r="E121" i="5"/>
  <c r="E121" i="3"/>
  <c r="G77" i="11" l="1"/>
  <c r="H77" i="11" s="1"/>
  <c r="G78" i="11"/>
  <c r="G79" i="11"/>
  <c r="H79" i="11" s="1"/>
  <c r="H78" i="11"/>
  <c r="S96" i="11"/>
  <c r="U95" i="11"/>
  <c r="T95" i="11"/>
  <c r="R97" i="11"/>
  <c r="S97" i="11" s="1"/>
  <c r="R98" i="11"/>
  <c r="S98" i="11" s="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B112" i="4" l="1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I31" i="4" s="1"/>
  <c r="G25" i="4"/>
  <c r="D91" i="4" s="1"/>
  <c r="E91" i="4" s="1"/>
  <c r="E25" i="4"/>
  <c r="F25" i="4" s="1"/>
  <c r="C25" i="4"/>
  <c r="D49" i="3"/>
  <c r="O17" i="5" l="1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B101" i="4"/>
  <c r="D101" i="4" s="1"/>
  <c r="E101" i="4" s="1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D77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<sst xmlns="http://schemas.openxmlformats.org/spreadsheetml/2006/main" count="924" uniqueCount="332">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</sst>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5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54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27" fillId="10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8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7" borderId="0" xfId="0" applyFont="1" applyFill="1" applyAlignment="1">
      <alignment horizontal="right"/>
    </xf>
    <xf numFmtId="0" fontId="25" fillId="7" borderId="0" xfId="0" applyFont="1" applyFill="1" applyAlignment="1">
      <alignment horizontal="center"/>
    </xf>
    <xf numFmtId="165" fontId="22" fillId="0" borderId="0" xfId="0" applyNumberFormat="1" applyFont="1" applyAlignment="1">
      <alignment horizontal="center" vertical="top" shrinkToFit="1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7" borderId="18" xfId="0" applyFill="1" applyBorder="1" applyAlignment="1">
      <alignment horizontal="left"/>
    </xf>
    <xf numFmtId="0" fontId="1" fillId="4" borderId="70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 vertic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>
        <bottom style="medium">
          <color rgb="FF000000"/>
        </bottom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0.44021325209444023</c:v>
                </c:pt>
                <c:pt idx="1">
                  <c:v>0.10281797410510282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0.45696877380045697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0.44021325209444023</c:v>
                      </c:pt>
                      <c:pt idx="1">
                        <c:v>0.10281797410510282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0.45696877380045697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0.44021325209444023</c:v>
                      </c:pt>
                      <c:pt idx="1">
                        <c:v>0.10281797410510282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0.45696877380045697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0.44021325209444023</c:v>
                      </c:pt>
                      <c:pt idx="1">
                        <c:v>0.10281797410510282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0.45696877380045697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0.44021325209444023</c:v>
                      </c:pt>
                      <c:pt idx="1">
                        <c:v>0.10281797410510282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0.45696877380045697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0.12829059076559296</c:v>
                </c:pt>
                <c:pt idx="1">
                  <c:v>3.395927402618637E-2</c:v>
                </c:pt>
                <c:pt idx="2">
                  <c:v>0.10196586464084924</c:v>
                </c:pt>
                <c:pt idx="3">
                  <c:v>0.58485416378432087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0.15093010678305055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0.10323613646002601</c:v>
                </c:pt>
                <c:pt idx="1">
                  <c:v>0.88063321721809495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1.6130646321879064E-2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0.10196586464084924</c:v>
                      </c:pt>
                      <c:pt idx="3">
                        <c:v>0.58485416378432087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7.4871314927468416E-2</c:v>
                </c:pt>
                <c:pt idx="1">
                  <c:v>9.8268600842302295E-2</c:v>
                </c:pt>
                <c:pt idx="2">
                  <c:v>0.29948525970987366</c:v>
                </c:pt>
                <c:pt idx="3">
                  <c:v>3.9931367961316487E-2</c:v>
                </c:pt>
                <c:pt idx="4">
                  <c:v>9.3589143659335516E-2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7.0191857744501637E-2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675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0.12829059076559296</c:v>
                      </c:pt>
                      <c:pt idx="1">
                        <c:v>3.395927402618637E-2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0.15093010678305055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14" dataDxfId="13" headerRowBorderDxfId="11" tableBorderDxfId="12">
  <tableColumns count="11">
    <tableColumn id="1" xr3:uid="{F62923DA-268D-4C05-A3FD-5B6724B9C52C}" name="Type" dataDxfId="10"/>
    <tableColumn id="2" xr3:uid="{EB94C18A-53C7-49B4-9951-B0D45387F534}" name="Material" dataDxfId="9"/>
    <tableColumn id="3" xr3:uid="{742DCF28-FF0E-4DEB-9692-48856C57FDDF}" name="Solid_x000a_%" dataDxfId="8" dataCellStyle="Percent">
      <calculatedColumnFormula>VLOOKUP(B25,Material[],3,FALSE)</calculatedColumnFormula>
    </tableColumn>
    <tableColumn id="4" xr3:uid="{BB064559-D4BA-4F16-8EC1-30E2B240321C}" name="Micron" dataDxfId="7"/>
    <tableColumn id="5" xr3:uid="{304CED41-D1B2-4094-B75A-C9F02E2BBC34}" name="Density" dataDxfId="6">
      <calculatedColumnFormula>VLOOKUP(B25,Material[],2,FALSE)</calculatedColumnFormula>
    </tableColumn>
    <tableColumn id="6" xr3:uid="{3703A15F-9D1D-4E2C-ABDC-02144AEBEB95}" name="Total GSM" dataDxfId="5">
      <calculatedColumnFormula>IF(A25="Substrate",D25*E25,C25*D25)</calculatedColumnFormula>
    </tableColumn>
    <tableColumn id="7" xr3:uid="{BC31FE8B-DCB1-4E2C-8E3E-C33A9BE69C66}" name="Cost Per Kg" dataDxfId="4">
      <calculatedColumnFormula>VLOOKUP(B25,Material[],4,FALSE)</calculatedColumnFormula>
    </tableColumn>
    <tableColumn id="8" xr3:uid="{F0C08983-AA5A-4AB5-9E4B-3B623409C8D0}" name="Waste_x000a_%" dataDxfId="3" dataCellStyle="Percent"/>
    <tableColumn id="9" xr3:uid="{7B582428-6E7D-4270-972B-EC6937A949FF}" name="Cost / M²" dataDxfId="2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1">
      <calculatedColumnFormula>IF(A25="Substrate",(($I$36*F25)/$B$37)*(1+H25),(($I$36*D25)/$B$37)*(1+H25))</calculatedColumnFormula>
    </tableColumn>
    <tableColumn id="11" xr3:uid="{278FA076-FBD1-45DE-85C5-F02299C9C71A}" name="Layer %" dataDxfId="0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87" dataDxfId="85" headerRowBorderDxfId="86" tableBorderDxfId="84">
  <tableColumns count="11">
    <tableColumn id="1" xr3:uid="{96576271-5AB6-4D1F-A650-9AFB007DB6B2}" name="Type" dataDxfId="83"/>
    <tableColumn id="2" xr3:uid="{D5E0E192-5AD5-4727-9F12-EAD3A3982878}" name="Material" dataDxfId="82"/>
    <tableColumn id="3" xr3:uid="{0DB7A82F-E4FA-413B-A42B-A42EA7407217}" name="Solid_x000a_%" dataDxfId="81" dataCellStyle="Percent">
      <calculatedColumnFormula>VLOOKUP(B25,Material[],3,FALSE)</calculatedColumnFormula>
    </tableColumn>
    <tableColumn id="4" xr3:uid="{229B6022-DBB2-4CCF-A1DD-CAC6A675883F}" name="Micron" dataDxfId="80"/>
    <tableColumn id="5" xr3:uid="{ECD14A31-499F-4FEA-AB58-37B0A4874C9A}" name="Density" dataDxfId="79">
      <calculatedColumnFormula>VLOOKUP(B25,Material[],2,FALSE)</calculatedColumnFormula>
    </tableColumn>
    <tableColumn id="6" xr3:uid="{DAE41353-B150-4A08-BB72-00C15FCE5305}" name="Total GSM" dataDxfId="78">
      <calculatedColumnFormula>IF(A25="Substrate",D25*E25,C25*D25)</calculatedColumnFormula>
    </tableColumn>
    <tableColumn id="7" xr3:uid="{2D2E4074-B605-494F-B5C2-626AD0F02E8D}" name="Cost Per Kg" dataDxfId="77">
      <calculatedColumnFormula>VLOOKUP(B25,Material[],4,FALSE)</calculatedColumnFormula>
    </tableColumn>
    <tableColumn id="8" xr3:uid="{BF124759-5704-403F-A548-F9852A5E0F80}" name="Waste_x000a_%" dataDxfId="76" dataCellStyle="Percent"/>
    <tableColumn id="9" xr3:uid="{DE2AE453-E261-446C-84FD-C8FABCC2AE41}" name="Cost / M²" dataDxfId="75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74">
      <calculatedColumnFormula>IF(A25="Substrate",(($I$36*F25)/$B$37)*(1+H25),(($I$36*D25)/$B$37)*(1+H25))</calculatedColumnFormula>
    </tableColumn>
    <tableColumn id="11" xr3:uid="{7729127E-5092-4133-A3D4-F264CCBA79B7}" name="Layer %" dataDxfId="73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61"/>
    <tableColumn id="4" xr3:uid="{705696B6-E241-4CE0-AFE1-37043FC331F9}" name="Solid" dataCellStyle="Percent"/>
    <tableColumn id="1" xr3:uid="{69EE0737-5119-452D-80EC-62F1CE8D7933}" name="Cost Per Kg" dataDxfId="6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59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58" dataDxfId="57">
  <autoFilter ref="Q1:Q18" xr:uid="{5B46735D-3E62-4411-9491-B2CB027FCCD7}"/>
  <tableColumns count="1">
    <tableColumn id="1" xr3:uid="{9E980FBC-6C44-4579-9F83-F013225FDE31}" name="Substrate" dataDxfId="56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55" dataDxfId="54">
  <autoFilter ref="R1:R9" xr:uid="{18F0352D-76C9-4FE0-B368-CC02D4B9A4DD}"/>
  <tableColumns count="1">
    <tableColumn id="1" xr3:uid="{6C1C3C3D-7FBA-4671-9A3E-6181E3719E8D}" name="Ink" dataDxfId="53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52" dataDxfId="51">
  <autoFilter ref="S1:T4" xr:uid="{A0A7022A-2C20-43C3-AA8D-7A4D11FC446B}"/>
  <tableColumns count="2">
    <tableColumn id="1" xr3:uid="{012E7603-7A8C-46AD-914C-FAE7D12FAF3F}" name="Adhesive" dataDxfId="50"/>
    <tableColumn id="2" xr3:uid="{4325B70E-CBBC-4618-9B76-FCD61F8B754A}" name="Packaging" dataDxfId="49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48" tableBorderDxfId="47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46">
  <autoFilter ref="M1:M6" xr:uid="{0ACB9144-FE8F-4434-B61E-D494EC9E3ABC}"/>
  <tableColumns count="1">
    <tableColumn id="1" xr3:uid="{031412D9-180B-4257-B711-44F88C9C965F}" name="Units" dataDxfId="4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44" dataDxfId="42" headerRowBorderDxfId="43" tableBorderDxfId="41">
  <tableColumns count="11">
    <tableColumn id="1" xr3:uid="{50FE5CD8-8F96-4285-BA9D-268C0CAD731A}" name="Type" dataDxfId="40"/>
    <tableColumn id="2" xr3:uid="{CDABA659-5E06-4320-B16B-D8FC50A5EC4C}" name="Material" dataDxfId="39"/>
    <tableColumn id="3" xr3:uid="{F30B7E1A-8EC0-487D-B51E-A83F6C0A7696}" name="Solid_x000a_%" dataDxfId="38" dataCellStyle="Percent">
      <calculatedColumnFormula>VLOOKUP(B25,Material[],3,FALSE)</calculatedColumnFormula>
    </tableColumn>
    <tableColumn id="4" xr3:uid="{EC6EB5B0-8D3E-431C-A41E-451AEDDF1CAB}" name="Micron" dataDxfId="37"/>
    <tableColumn id="5" xr3:uid="{0E9EC9A2-097B-4038-90CC-10ACAA2D37C8}" name="Density" dataDxfId="36">
      <calculatedColumnFormula>VLOOKUP(B25,Material[],2,FALSE)</calculatedColumnFormula>
    </tableColumn>
    <tableColumn id="6" xr3:uid="{6DE0F403-F045-4CB7-A93C-BBBB4C2CC36C}" name="Total GSM" dataDxfId="35">
      <calculatedColumnFormula>IF(A25="Substrate",D25*E25,C25*D25)</calculatedColumnFormula>
    </tableColumn>
    <tableColumn id="7" xr3:uid="{6CFF6209-352B-43CE-920D-DA966F28BBF4}" name="Cost Per Kg" dataDxfId="34">
      <calculatedColumnFormula>VLOOKUP(B25,Material[],4,FALSE)</calculatedColumnFormula>
    </tableColumn>
    <tableColumn id="8" xr3:uid="{6570658D-E7B6-433E-BD7F-58AB4E45B978}" name="Waste_x000a_%" dataDxfId="33" dataCellStyle="Percent"/>
    <tableColumn id="9" xr3:uid="{08E47AC7-5580-40EE-AA5E-E63B6D775F19}" name="Cost / M²" dataDxfId="32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31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30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29" dataDxfId="27" headerRowBorderDxfId="28" tableBorderDxfId="26">
  <tableColumns count="11">
    <tableColumn id="1" xr3:uid="{C78D00EE-CC8D-4078-8CF3-F7CA276EB14E}" name="Type" dataDxfId="25"/>
    <tableColumn id="2" xr3:uid="{1D84220D-1AC7-4C20-8698-133A4B852684}" name="Material" dataDxfId="24"/>
    <tableColumn id="3" xr3:uid="{85EF343D-3E7B-4865-8D76-03D11AE9E519}" name="Solid_x000a_%" dataDxfId="23" dataCellStyle="Percent">
      <calculatedColumnFormula>VLOOKUP(B25,Material[],3,FALSE)</calculatedColumnFormula>
    </tableColumn>
    <tableColumn id="4" xr3:uid="{B0482690-6F47-4FE7-9C89-DA01552E21F8}" name="Micron" dataDxfId="22"/>
    <tableColumn id="5" xr3:uid="{E7E60B92-AF49-4CC8-8113-82A5EF636877}" name="Density" dataDxfId="21">
      <calculatedColumnFormula>VLOOKUP(B25,Material[],2,FALSE)</calculatedColumnFormula>
    </tableColumn>
    <tableColumn id="6" xr3:uid="{94DD0504-F221-405D-81CF-F0738ECA1FCC}" name="Total GSM" dataDxfId="20">
      <calculatedColumnFormula>IF(A25="Substrate",D25*E25,C25*D25)</calculatedColumnFormula>
    </tableColumn>
    <tableColumn id="7" xr3:uid="{2CA9B622-3087-468C-989B-788B5B5FA003}" name="Cost Per Kg" dataDxfId="19">
      <calculatedColumnFormula>VLOOKUP(B25,Material[],4,FALSE)</calculatedColumnFormula>
    </tableColumn>
    <tableColumn id="8" xr3:uid="{86908396-9795-4DE3-9FF0-383162A826B5}" name="Waste_x000a_%" dataDxfId="18" dataCellStyle="Percent"/>
    <tableColumn id="9" xr3:uid="{E189D7D2-A0B2-4FE3-8D31-A34B3D925414}" name="Cost / M²" dataDxfId="17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6">
      <calculatedColumnFormula>IF(A25="Substrate",(($I$36*F25)/$B$37)*(1+H25),(($I$36*D25)/$B$37)*(1+H25))</calculatedColumnFormula>
    </tableColumn>
    <tableColumn id="11" xr3:uid="{380643C8-6CF2-44AE-9796-D6CDAFCFF6FC}" name="Layer %" dataDxfId="15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abSelected="1" topLeftCell="A16" zoomScaleNormal="100" workbookViewId="0">
      <selection activeCell="L20" sqref="L20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83" t="s">
        <v>153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74" t="s">
        <v>50</v>
      </c>
      <c r="B3" s="274"/>
      <c r="C3" s="284" t="s">
        <v>130</v>
      </c>
      <c r="D3" s="284"/>
      <c r="E3" s="284"/>
      <c r="F3" s="9"/>
      <c r="G3" s="274" t="s">
        <v>56</v>
      </c>
      <c r="H3" s="274"/>
      <c r="I3" s="284" t="s">
        <v>129</v>
      </c>
      <c r="J3" s="284"/>
      <c r="K3" s="284"/>
      <c r="L3" s="284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74" t="s">
        <v>51</v>
      </c>
      <c r="B5" s="274"/>
      <c r="C5" s="275" t="s">
        <v>0</v>
      </c>
      <c r="D5" s="275"/>
      <c r="E5" s="275"/>
      <c r="F5" s="9"/>
      <c r="G5" s="274" t="s">
        <v>53</v>
      </c>
      <c r="H5" s="274"/>
      <c r="I5" s="276">
        <v>10000</v>
      </c>
      <c r="J5" s="276"/>
      <c r="K5" s="275" t="s">
        <v>2</v>
      </c>
      <c r="L5" s="275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77" t="s">
        <v>54</v>
      </c>
      <c r="B9" s="277"/>
      <c r="C9" s="277"/>
      <c r="O9" s="20"/>
      <c r="P9" s="20"/>
    </row>
    <row r="10" spans="1:18" ht="15.6" x14ac:dyDescent="0.3">
      <c r="A10" s="277" t="s">
        <v>55</v>
      </c>
      <c r="B10" s="277"/>
      <c r="C10" s="277"/>
      <c r="N10" s="20"/>
      <c r="O10" s="285"/>
      <c r="P10" s="285"/>
      <c r="Q10" s="44"/>
    </row>
    <row r="11" spans="1:18" ht="15" thickBot="1" x14ac:dyDescent="0.35"/>
    <row r="12" spans="1:18" ht="15" thickBot="1" x14ac:dyDescent="0.35">
      <c r="A12" s="286" t="s">
        <v>67</v>
      </c>
      <c r="B12" s="287"/>
      <c r="C12" s="288"/>
      <c r="E12" s="2"/>
      <c r="F12" s="2"/>
      <c r="G12" s="2"/>
      <c r="I12" s="289"/>
      <c r="J12" s="289"/>
      <c r="K12" s="289"/>
      <c r="M12" s="289"/>
      <c r="N12" s="289"/>
    </row>
    <row r="13" spans="1:18" x14ac:dyDescent="0.3">
      <c r="A13" s="281" t="s">
        <v>8</v>
      </c>
      <c r="B13" s="282"/>
      <c r="C13" s="135">
        <v>250</v>
      </c>
      <c r="E13" s="278"/>
      <c r="F13" s="278"/>
      <c r="G13" s="21"/>
      <c r="I13" s="278"/>
      <c r="J13" s="278"/>
      <c r="K13" s="21"/>
    </row>
    <row r="14" spans="1:18" x14ac:dyDescent="0.3">
      <c r="A14" s="290" t="s">
        <v>9</v>
      </c>
      <c r="B14" s="291"/>
      <c r="C14" s="30">
        <v>100</v>
      </c>
      <c r="E14" s="278"/>
      <c r="F14" s="278"/>
      <c r="G14" s="21"/>
      <c r="I14" s="278"/>
      <c r="J14" s="278"/>
      <c r="K14" s="21"/>
      <c r="M14" s="278"/>
      <c r="N14" s="278"/>
      <c r="O14" s="21"/>
      <c r="Q14" s="21"/>
    </row>
    <row r="15" spans="1:18" x14ac:dyDescent="0.3">
      <c r="A15" s="290" t="s">
        <v>6</v>
      </c>
      <c r="B15" s="291"/>
      <c r="C15" s="31">
        <v>20</v>
      </c>
      <c r="E15" s="278"/>
      <c r="F15" s="278"/>
      <c r="G15" s="21"/>
      <c r="I15" s="4"/>
      <c r="J15" s="4"/>
      <c r="K15" s="131"/>
      <c r="M15" s="278"/>
      <c r="N15" s="278"/>
      <c r="O15" s="21"/>
      <c r="Q15" s="21"/>
    </row>
    <row r="16" spans="1:18" x14ac:dyDescent="0.3">
      <c r="A16" s="290" t="s">
        <v>10</v>
      </c>
      <c r="B16" s="291"/>
      <c r="C16" s="136">
        <v>1</v>
      </c>
      <c r="E16" s="4"/>
      <c r="F16" s="4"/>
      <c r="G16" s="131"/>
      <c r="I16" s="278"/>
      <c r="J16" s="278"/>
      <c r="K16" s="6"/>
      <c r="M16" s="278"/>
      <c r="N16" s="278"/>
    </row>
    <row r="17" spans="1:14" ht="15" thickBot="1" x14ac:dyDescent="0.35">
      <c r="A17" s="292" t="s">
        <v>7</v>
      </c>
      <c r="B17" s="293"/>
      <c r="C17" s="32">
        <v>4</v>
      </c>
      <c r="E17" s="278"/>
      <c r="F17" s="278"/>
      <c r="G17" s="6"/>
      <c r="M17" s="278"/>
      <c r="N17" s="278"/>
    </row>
    <row r="18" spans="1:14" x14ac:dyDescent="0.3">
      <c r="L18">
        <f>1000/L19</f>
        <v>10.656436487638533</v>
      </c>
      <c r="M18" s="278"/>
      <c r="N18" s="278"/>
    </row>
    <row r="19" spans="1:14" x14ac:dyDescent="0.3">
      <c r="L19">
        <f>F25*G25</f>
        <v>93.84</v>
      </c>
      <c r="M19" s="267"/>
      <c r="N19" s="267"/>
    </row>
    <row r="20" spans="1:14" x14ac:dyDescent="0.3">
      <c r="L20">
        <f>L19/1000</f>
        <v>9.3840000000000007E-2</v>
      </c>
      <c r="M20" s="267"/>
      <c r="N20" s="267"/>
    </row>
    <row r="21" spans="1:14" x14ac:dyDescent="0.3">
      <c r="C21" s="279"/>
      <c r="D21" s="53"/>
      <c r="E21" s="279"/>
      <c r="F21" s="279"/>
      <c r="G21" s="279"/>
      <c r="H21" s="279"/>
    </row>
    <row r="22" spans="1:14" x14ac:dyDescent="0.3">
      <c r="C22" s="279"/>
      <c r="D22" s="53"/>
      <c r="E22" s="279"/>
      <c r="F22" s="279"/>
      <c r="G22" s="279"/>
      <c r="H22" s="279"/>
    </row>
    <row r="23" spans="1:14" ht="15" thickBot="1" x14ac:dyDescent="0.35">
      <c r="C23" s="280"/>
      <c r="D23" s="53"/>
      <c r="E23" s="280"/>
      <c r="F23" s="280"/>
      <c r="G23" s="280"/>
      <c r="H23" s="280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60</v>
      </c>
      <c r="E25" s="175">
        <f>VLOOKUP(B25,Material[],2,FALSE)</f>
        <v>0.92</v>
      </c>
      <c r="F25" s="175">
        <f>IF(A25="Substrate",D25*E25,C25*D25)</f>
        <v>55.2</v>
      </c>
      <c r="G25" s="176">
        <v>1.7</v>
      </c>
      <c r="H25" s="177">
        <v>0</v>
      </c>
      <c r="I25" s="178">
        <f>(IF(A25="Substrate",(F25*G25)/1000,(D25*G25)/1000))*(1+table1713[[#This Row],[Waste
%]])</f>
        <v>9.3840000000000007E-2</v>
      </c>
      <c r="J25" s="179">
        <f>IF(A25="Substrate",(($I$36*F25)/$B$37)*(1+H25),(($I$36*D25)/$B$37)*(1+H25))</f>
        <v>10000</v>
      </c>
      <c r="K25" s="180">
        <f>table1713[[#This Row],[Total GSM]]/$B$37</f>
        <v>1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0</v>
      </c>
      <c r="E26" s="175">
        <f>VLOOKUP(B26,Material[],2,FALSE)</f>
        <v>1</v>
      </c>
      <c r="F26" s="175">
        <f>IF(A26="Substrate",D26*E26,C26*D26)</f>
        <v>0</v>
      </c>
      <c r="G26" s="176">
        <f>VLOOKUP(B26,Material[],4,FALSE)</f>
        <v>4.5</v>
      </c>
      <c r="H26" s="177">
        <v>0.1</v>
      </c>
      <c r="I26" s="178">
        <f>(IF(A26="Substrate",(F26*G26)/1000,(D26*G26)/1000))*(1+table1713[[#This Row],[Waste
%]])</f>
        <v>0</v>
      </c>
      <c r="J26" s="179">
        <f>IF(A26="Substrate",(($I$36*F26)/$B$37)*(1+H26),(($I$36*D26)/$B$37)*(1+H26))</f>
        <v>0</v>
      </c>
      <c r="K26" s="180">
        <f>table1713[[#This Row],[Total GSM]]/$B$37</f>
        <v>0</v>
      </c>
      <c r="M26" s="101"/>
    </row>
    <row r="27" spans="1:14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</row>
    <row r="28" spans="1:14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4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4" t="s">
        <v>38</v>
      </c>
      <c r="B31" s="295"/>
      <c r="C31" s="295"/>
      <c r="D31" s="295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0</v>
      </c>
      <c r="J31" s="125">
        <f>(SUMIFS(table1713[Est.
Required Kgs],table1713[Type], "Ink") + SUMIFS(table1713[Est.
Required Kgs],table1713[Material], "Solvent Base"))*$F$31</f>
        <v>0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" t="s">
        <v>40</v>
      </c>
      <c r="B35" s="36">
        <f>B37/B36</f>
        <v>0.92</v>
      </c>
      <c r="C35" s="296" t="s">
        <v>66</v>
      </c>
      <c r="D35" s="296"/>
      <c r="E35" s="134">
        <f>IF(C5="Roll", (1000/(C13*C14*B37*0.001*0.001))*C16, IF(C5="Sleeve", (1000/(G14*G15*B37*0.001*0.001))*1, IF(C5="Bag or Pouch", (1000/(K14*K13*B37*0.001*0.001))*1, "")))</f>
        <v>724.63768115942025</v>
      </c>
      <c r="F35" s="296" t="s">
        <v>65</v>
      </c>
      <c r="G35" s="296"/>
      <c r="H35" s="296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SUMIFS(table1713[Micron],table1713[Type],"substrate")+SUMIFS(table1713[Total GSM],table1713[Type],"Ink")+SUMIFS(table1713[Total GSM],table1713[Type],"Adhesive")</f>
        <v>60</v>
      </c>
      <c r="C36" s="296" t="s">
        <v>59</v>
      </c>
      <c r="D36" s="296"/>
      <c r="E36" s="15">
        <f>1000/E35</f>
        <v>1.3800000000000001</v>
      </c>
      <c r="F36" s="296" t="s">
        <v>88</v>
      </c>
      <c r="G36" s="296"/>
      <c r="H36" s="296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55.2</v>
      </c>
      <c r="C37" s="353" t="s">
        <v>60</v>
      </c>
      <c r="D37" s="353"/>
      <c r="E37" s="15">
        <f>1000/B37</f>
        <v>18.115942028985508</v>
      </c>
      <c r="F37" s="296" t="s">
        <v>89</v>
      </c>
      <c r="G37" s="296"/>
      <c r="H37" s="296"/>
      <c r="I37" s="38">
        <f>(I36*1000)/E36/1000</f>
        <v>7246.3768115942021</v>
      </c>
    </row>
    <row r="38" spans="1:13" x14ac:dyDescent="0.3">
      <c r="A38" s="2" t="s">
        <v>83</v>
      </c>
      <c r="B38" s="16">
        <f>SUM(I25:I30)+I31</f>
        <v>9.3840000000000007E-2</v>
      </c>
      <c r="C38" s="296" t="s">
        <v>86</v>
      </c>
      <c r="D38" s="296"/>
      <c r="E38" s="15">
        <f>(E37/I35)*1000</f>
        <v>17.760727479397556</v>
      </c>
      <c r="F38" s="296" t="s">
        <v>135</v>
      </c>
      <c r="G38" s="296"/>
      <c r="H38" s="296"/>
      <c r="I38" s="38">
        <f>I36*E38</f>
        <v>177607.27479397555</v>
      </c>
    </row>
    <row r="39" spans="1:13" x14ac:dyDescent="0.3">
      <c r="C39" s="296" t="s">
        <v>151</v>
      </c>
      <c r="D39" s="296"/>
      <c r="E39" s="15">
        <f>IF(C5="Roll", ((E37/C13)*1000), IF(C5="Sleeve", ((E37/G14)*1000), IF(C5="Bag or Pouch", ((E37/K13)*1000), "")))</f>
        <v>72.463768115942031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3" t="s">
        <v>92</v>
      </c>
      <c r="B44" s="314"/>
      <c r="C44" s="31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16" t="s">
        <v>62</v>
      </c>
      <c r="B46" s="316"/>
      <c r="C46" s="31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16" t="s">
        <v>63</v>
      </c>
      <c r="B47" s="316"/>
      <c r="C47" s="316"/>
      <c r="D47" s="127">
        <f>IF(C5="Roll",(((D46/2)^2-(D44/2)^2)*PI()*C13*B35/1000000),IF(C5="Sleeve",(((D46/2)^2-(D44/2)^2)*PI()*G14*B35/1000000),IF(C5="Bag or Pouch",(((D46/2)^2-(D44/2)^2)*PI()*K13*B35/1000000))))</f>
        <v>59.435414422146863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16" t="s">
        <v>48</v>
      </c>
      <c r="B48" s="316"/>
      <c r="C48" s="316"/>
      <c r="D48" s="128">
        <f>IF(C5="Roll",((D47*1000/B35)/((B36/10000)*(C13/10))/100),IF(C5="Sleeve",((D47*1000/B35)/((B36/10000)*(G14/10))/100),IF(C5="Bag or Pouch",((D47*1000/B35)/((B36/10000)*(K13/10))/100))))</f>
        <v>4306.914088561367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16" t="s">
        <v>85</v>
      </c>
      <c r="B49" s="316"/>
      <c r="C49" s="316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16" t="s">
        <v>64</v>
      </c>
      <c r="B50" s="316"/>
      <c r="C50" s="316"/>
      <c r="D50" s="98">
        <f>(D47*E35)</f>
        <v>43069.14088561367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16" t="s">
        <v>93</v>
      </c>
      <c r="B52" s="316"/>
      <c r="C52" s="316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16" t="s">
        <v>49</v>
      </c>
      <c r="B53" s="316"/>
      <c r="C53" s="31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663.79739676972963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15.285714285714286</v>
      </c>
      <c r="F60" s="204">
        <v>300</v>
      </c>
      <c r="G60" s="207">
        <f>IFERROR(F60*E60,"")</f>
        <v>4585.7142857142862</v>
      </c>
      <c r="H60" s="310">
        <f>SUMIF($A$60:$A$69,"true",$G$60:$G$69)</f>
        <v>14420.065900756443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0">IF(A61=TRUE, D61+(OQM/C61/60),"")</f>
        <v>14.840484986265038</v>
      </c>
      <c r="F61" s="205">
        <v>300</v>
      </c>
      <c r="G61" s="208">
        <f t="shared" ref="G61:G69" si="1">IFERROR(F61*E61,"")</f>
        <v>4452.1454958795111</v>
      </c>
      <c r="H61" s="311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0"/>
        <v>6.4202424931325188</v>
      </c>
      <c r="F62" s="205">
        <v>50</v>
      </c>
      <c r="G62" s="208">
        <f t="shared" si="1"/>
        <v>321.01212465662593</v>
      </c>
      <c r="H62" s="311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0"/>
        <v>15.800606232831296</v>
      </c>
      <c r="F63" s="205">
        <v>100</v>
      </c>
      <c r="G63" s="208">
        <f t="shared" si="1"/>
        <v>1580.0606232831296</v>
      </c>
      <c r="H63" s="311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0"/>
        <v>15.800606232831296</v>
      </c>
      <c r="F64" s="205">
        <v>100</v>
      </c>
      <c r="G64" s="208">
        <f t="shared" si="1"/>
        <v>1580.0606232831296</v>
      </c>
      <c r="H64" s="311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0"/>
        <v>15.800606232831296</v>
      </c>
      <c r="F65" s="205">
        <v>100</v>
      </c>
      <c r="G65" s="208">
        <f t="shared" si="1"/>
        <v>1580.0606232831296</v>
      </c>
      <c r="H65" s="311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0"/>
        <v>6.4202424931325188</v>
      </c>
      <c r="F66" s="205">
        <v>50</v>
      </c>
      <c r="G66" s="208">
        <f t="shared" si="1"/>
        <v>321.01212465662593</v>
      </c>
      <c r="H66" s="311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311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311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312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1.4420065900756442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00"/>
      <c r="C73" s="301" t="s">
        <v>41</v>
      </c>
      <c r="D73" s="80" t="s">
        <v>91</v>
      </c>
      <c r="E73" s="303" t="s">
        <v>42</v>
      </c>
      <c r="F73" s="305" t="s">
        <v>43</v>
      </c>
      <c r="G73" s="305" t="s">
        <v>107</v>
      </c>
      <c r="H73" s="307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00"/>
      <c r="C74" s="302"/>
      <c r="D74" s="181">
        <v>0.3</v>
      </c>
      <c r="E74" s="304"/>
      <c r="F74" s="306"/>
      <c r="G74" s="306"/>
      <c r="H74" s="308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1.7000000000000002</v>
      </c>
      <c r="D75" s="183">
        <f>C75*D74</f>
        <v>0.51</v>
      </c>
      <c r="E75" s="184">
        <v>0.1</v>
      </c>
      <c r="F75" s="184">
        <v>0.2</v>
      </c>
      <c r="G75" s="185">
        <f>H70</f>
        <v>1.4420065900756442</v>
      </c>
      <c r="H75" s="186">
        <f>SUM(C75:G75)</f>
        <v>3.9520065900756443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2.3460000000000005</v>
      </c>
      <c r="D76" s="91">
        <f>(D75/$E$35)*1000</f>
        <v>0.70380000000000009</v>
      </c>
      <c r="E76" s="91">
        <f>(E75/$E$35)*1000</f>
        <v>0.13800000000000001</v>
      </c>
      <c r="F76" s="91">
        <f>(F75/$E$35)*1000</f>
        <v>0.27600000000000002</v>
      </c>
      <c r="G76" s="91">
        <f>(G75/$E$35)*1000</f>
        <v>1.9899690943043893</v>
      </c>
      <c r="H76" s="188">
        <f>SUM(C76:G76)</f>
        <v>5.4537690943043904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9.3840000000000007E-2</v>
      </c>
      <c r="D77" s="92">
        <f t="shared" ref="D77:G77" si="2">(D75/$E$37)</f>
        <v>2.8152E-2</v>
      </c>
      <c r="E77" s="92">
        <f t="shared" si="2"/>
        <v>5.5199999999999997E-3</v>
      </c>
      <c r="F77" s="92">
        <f t="shared" si="2"/>
        <v>1.1039999999999999E-2</v>
      </c>
      <c r="G77" s="92">
        <f t="shared" si="2"/>
        <v>7.9598763772175563E-2</v>
      </c>
      <c r="H77" s="189">
        <f>SUM(C77:G77)</f>
        <v>0.21815076377217557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2.3460000000000002E-2</v>
      </c>
      <c r="D78" s="92">
        <f>(D75/$E$39)</f>
        <v>7.038E-3</v>
      </c>
      <c r="E78" s="92">
        <f>(E75/$E$39)</f>
        <v>1.3799999999999999E-3</v>
      </c>
      <c r="F78" s="92">
        <f>(F75/$E$39)</f>
        <v>2.7599999999999999E-3</v>
      </c>
      <c r="G78" s="92">
        <f>(G75/$E$39)</f>
        <v>1.9899690943043891E-2</v>
      </c>
      <c r="H78" s="189">
        <f>SUM(C78:G78)</f>
        <v>5.4537690943043893E-2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11.73</v>
      </c>
      <c r="D79" s="191">
        <f>D78*500</f>
        <v>3.5190000000000001</v>
      </c>
      <c r="E79" s="191">
        <f t="shared" ref="E79:G79" si="3">E78*500</f>
        <v>0.69</v>
      </c>
      <c r="F79" s="191">
        <f t="shared" si="3"/>
        <v>1.38</v>
      </c>
      <c r="G79" s="191">
        <f t="shared" si="3"/>
        <v>9.9498454715219449</v>
      </c>
      <c r="H79" s="192">
        <f>SUM(C79:G79)</f>
        <v>27.268845471521942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99"/>
      <c r="I82" s="299"/>
      <c r="J82" s="299"/>
      <c r="K82" s="41"/>
      <c r="L82" s="41"/>
      <c r="M82" s="41"/>
      <c r="N82" s="41"/>
    </row>
    <row r="83" spans="1:25" ht="18" x14ac:dyDescent="0.35">
      <c r="A83" s="54"/>
      <c r="B83" s="298" t="s">
        <v>136</v>
      </c>
      <c r="C83" s="298"/>
      <c r="D83" s="298"/>
      <c r="E83" s="298"/>
      <c r="F83" s="298"/>
      <c r="G83" s="298"/>
      <c r="H83" s="298"/>
      <c r="I83" s="298"/>
      <c r="J83" s="298"/>
      <c r="K83" s="298"/>
      <c r="L83" s="298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09"/>
      <c r="I88" s="309"/>
      <c r="J88" s="213"/>
      <c r="K88" s="309"/>
      <c r="L88" s="309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0.44021325209444023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</v>
      </c>
      <c r="E92" s="147">
        <f t="shared" ref="E92:E104" si="6">IFERROR(D92*C92,"")</f>
        <v>675</v>
      </c>
      <c r="F92" s="163">
        <f t="shared" ref="F92:F104" si="7">IFERROR(E92/$E$105,"")</f>
        <v>0.10281797410510282</v>
      </c>
      <c r="G92" s="10"/>
      <c r="M92" s="41"/>
      <c r="N92" s="41"/>
      <c r="O92" s="41"/>
      <c r="Q92" s="268" t="s">
        <v>159</v>
      </c>
      <c r="R92" s="268"/>
      <c r="S92" s="112">
        <f>H75</f>
        <v>3.9520065900756443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72" t="s">
        <v>148</v>
      </c>
      <c r="U94" s="273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3.1420065900756446</v>
      </c>
      <c r="S95" s="211">
        <f>R95/S92</f>
        <v>0.79504082760537709</v>
      </c>
      <c r="T95" s="269">
        <f>R96-R95</f>
        <v>-1.5977208757899304</v>
      </c>
      <c r="U95" s="271">
        <f>(R96-R95)/R95</f>
        <v>-0.50850334968631139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1.5442857142857143</v>
      </c>
      <c r="S96" s="211">
        <f>R96/S92</f>
        <v>0.39075990363066565</v>
      </c>
      <c r="T96" s="270"/>
      <c r="U96" s="271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0.80999999999999961</v>
      </c>
      <c r="S97" s="218">
        <f>R97/S92</f>
        <v>0.20495917239462286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2.4077208757899298</v>
      </c>
      <c r="S98" s="211">
        <f>R98/S92</f>
        <v>0.60924009636933429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0.45696877380045697</v>
      </c>
    </row>
    <row r="105" spans="1:19" x14ac:dyDescent="0.3">
      <c r="B105" s="41"/>
      <c r="E105" s="141">
        <f>SUM(E91:E104)</f>
        <v>6565</v>
      </c>
    </row>
    <row r="106" spans="1:19" x14ac:dyDescent="0.3">
      <c r="B106" s="41"/>
      <c r="D106" s="87" t="s">
        <v>141</v>
      </c>
      <c r="E106" s="140">
        <f>E105/C85</f>
        <v>0.62523809523809526</v>
      </c>
    </row>
    <row r="107" spans="1:19" x14ac:dyDescent="0.3">
      <c r="B107" s="41"/>
      <c r="D107" s="87" t="s">
        <v>142</v>
      </c>
      <c r="E107" s="159">
        <f>(E106-C75)/C75</f>
        <v>-0.63221288515406171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97" t="s">
        <v>145</v>
      </c>
      <c r="C122" s="297"/>
      <c r="D122" s="297"/>
      <c r="E122" s="140">
        <f>E121/C85</f>
        <v>0.919047619047619</v>
      </c>
    </row>
    <row r="123" spans="2:6" x14ac:dyDescent="0.3">
      <c r="B123" s="297" t="s">
        <v>142</v>
      </c>
      <c r="C123" s="297"/>
      <c r="D123" s="297"/>
      <c r="E123" s="159">
        <f>(E122-H70)/H70</f>
        <v>-0.36266059713402005</v>
      </c>
    </row>
  </sheetData>
  <mergeCells count="73"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  <mergeCell ref="B73:B74"/>
    <mergeCell ref="C73:C74"/>
    <mergeCell ref="E73:E74"/>
    <mergeCell ref="F73:F74"/>
    <mergeCell ref="G73:G74"/>
    <mergeCell ref="H73:H74"/>
    <mergeCell ref="A48:C48"/>
    <mergeCell ref="A49:C49"/>
    <mergeCell ref="A50:C50"/>
    <mergeCell ref="A52:C52"/>
    <mergeCell ref="A53:C53"/>
    <mergeCell ref="H60:H69"/>
    <mergeCell ref="C38:D38"/>
    <mergeCell ref="F38:H38"/>
    <mergeCell ref="C39:D39"/>
    <mergeCell ref="A44:C44"/>
    <mergeCell ref="A46:C46"/>
    <mergeCell ref="A47:C47"/>
    <mergeCell ref="A31:D31"/>
    <mergeCell ref="C35:D35"/>
    <mergeCell ref="F35:H35"/>
    <mergeCell ref="C36:D36"/>
    <mergeCell ref="F36:H36"/>
    <mergeCell ref="C37:D37"/>
    <mergeCell ref="F37:H37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M14:N14"/>
    <mergeCell ref="A15:B15"/>
    <mergeCell ref="E15:F15"/>
    <mergeCell ref="M15:N15"/>
    <mergeCell ref="A16:B16"/>
    <mergeCell ref="I16:J16"/>
    <mergeCell ref="M16:N16"/>
    <mergeCell ref="A13:B13"/>
    <mergeCell ref="E13:F13"/>
    <mergeCell ref="I13:J13"/>
    <mergeCell ref="A14:B14"/>
    <mergeCell ref="E14:F14"/>
    <mergeCell ref="I14:J14"/>
    <mergeCell ref="A9:C9"/>
    <mergeCell ref="A10:C10"/>
    <mergeCell ref="O10:P10"/>
    <mergeCell ref="A12:C12"/>
    <mergeCell ref="I12:K12"/>
    <mergeCell ref="M12:N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6" zoomScaleNormal="100" workbookViewId="0">
      <selection activeCell="F27" sqref="F27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83" t="s">
        <v>153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74" t="s">
        <v>50</v>
      </c>
      <c r="B3" s="274"/>
      <c r="C3" s="284" t="s">
        <v>130</v>
      </c>
      <c r="D3" s="284"/>
      <c r="E3" s="284"/>
      <c r="F3" s="9"/>
      <c r="G3" s="274" t="s">
        <v>56</v>
      </c>
      <c r="H3" s="274"/>
      <c r="I3" s="284" t="s">
        <v>129</v>
      </c>
      <c r="J3" s="284"/>
      <c r="K3" s="284"/>
      <c r="L3" s="284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74" t="s">
        <v>51</v>
      </c>
      <c r="B5" s="274"/>
      <c r="C5" s="275" t="s">
        <v>0</v>
      </c>
      <c r="D5" s="275"/>
      <c r="E5" s="275"/>
      <c r="F5" s="9"/>
      <c r="G5" s="274" t="s">
        <v>53</v>
      </c>
      <c r="H5" s="274"/>
      <c r="I5" s="276">
        <v>10000</v>
      </c>
      <c r="J5" s="276"/>
      <c r="K5" s="275" t="s">
        <v>2</v>
      </c>
      <c r="L5" s="275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77" t="s">
        <v>54</v>
      </c>
      <c r="B9" s="277"/>
      <c r="C9" s="277"/>
      <c r="O9" s="20"/>
      <c r="P9" s="20"/>
    </row>
    <row r="10" spans="1:18" ht="15.6" x14ac:dyDescent="0.3">
      <c r="A10" s="277" t="s">
        <v>55</v>
      </c>
      <c r="B10" s="277"/>
      <c r="C10" s="277"/>
      <c r="N10" s="20"/>
      <c r="O10" s="285"/>
      <c r="P10" s="285"/>
      <c r="Q10" s="44"/>
    </row>
    <row r="11" spans="1:18" ht="15" thickBot="1" x14ac:dyDescent="0.35"/>
    <row r="12" spans="1:18" ht="15" thickBot="1" x14ac:dyDescent="0.35">
      <c r="A12" s="286" t="s">
        <v>67</v>
      </c>
      <c r="B12" s="287"/>
      <c r="C12" s="288"/>
      <c r="E12" s="2"/>
      <c r="F12" s="2"/>
      <c r="G12" s="2"/>
      <c r="I12" s="289"/>
      <c r="J12" s="289"/>
      <c r="K12" s="289"/>
      <c r="M12" s="289"/>
      <c r="N12" s="289"/>
    </row>
    <row r="13" spans="1:18" x14ac:dyDescent="0.3">
      <c r="A13" s="281" t="s">
        <v>8</v>
      </c>
      <c r="B13" s="282"/>
      <c r="C13" s="135">
        <v>250</v>
      </c>
      <c r="E13" s="278"/>
      <c r="F13" s="278"/>
      <c r="G13" s="21"/>
      <c r="I13" s="278"/>
      <c r="J13" s="278"/>
      <c r="K13" s="21"/>
    </row>
    <row r="14" spans="1:18" x14ac:dyDescent="0.3">
      <c r="A14" s="290" t="s">
        <v>9</v>
      </c>
      <c r="B14" s="291"/>
      <c r="C14" s="30">
        <v>100</v>
      </c>
      <c r="E14" s="278"/>
      <c r="F14" s="278"/>
      <c r="G14" s="21"/>
      <c r="I14" s="278"/>
      <c r="J14" s="278"/>
      <c r="K14" s="21"/>
      <c r="M14" s="278"/>
      <c r="N14" s="278"/>
      <c r="O14" s="21"/>
      <c r="Q14" s="21"/>
    </row>
    <row r="15" spans="1:18" x14ac:dyDescent="0.3">
      <c r="A15" s="290" t="s">
        <v>6</v>
      </c>
      <c r="B15" s="291"/>
      <c r="C15" s="31">
        <v>20</v>
      </c>
      <c r="E15" s="278"/>
      <c r="F15" s="278"/>
      <c r="G15" s="21"/>
      <c r="I15" s="4"/>
      <c r="J15" s="4"/>
      <c r="K15" s="131"/>
      <c r="M15" s="278"/>
      <c r="N15" s="278"/>
      <c r="O15" s="21"/>
      <c r="Q15" s="21"/>
    </row>
    <row r="16" spans="1:18" x14ac:dyDescent="0.3">
      <c r="A16" s="290" t="s">
        <v>10</v>
      </c>
      <c r="B16" s="291"/>
      <c r="C16" s="136">
        <v>1</v>
      </c>
      <c r="E16" s="4"/>
      <c r="F16" s="4"/>
      <c r="G16" s="131"/>
      <c r="I16" s="278"/>
      <c r="J16" s="278"/>
      <c r="K16" s="6"/>
      <c r="M16" s="278"/>
      <c r="N16" s="278"/>
    </row>
    <row r="17" spans="1:14" ht="15" thickBot="1" x14ac:dyDescent="0.35">
      <c r="A17" s="292" t="s">
        <v>7</v>
      </c>
      <c r="B17" s="293"/>
      <c r="C17" s="32">
        <v>4</v>
      </c>
      <c r="E17" s="278"/>
      <c r="F17" s="278"/>
      <c r="G17" s="6"/>
      <c r="M17" s="278"/>
      <c r="N17" s="278"/>
    </row>
    <row r="18" spans="1:14" x14ac:dyDescent="0.3">
      <c r="M18" s="278"/>
      <c r="N18" s="278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279"/>
      <c r="D21" s="53"/>
      <c r="E21" s="279"/>
      <c r="F21" s="279"/>
      <c r="G21" s="279"/>
      <c r="H21" s="279"/>
    </row>
    <row r="22" spans="1:14" x14ac:dyDescent="0.3">
      <c r="C22" s="279"/>
      <c r="D22" s="53"/>
      <c r="E22" s="279"/>
      <c r="F22" s="279"/>
      <c r="G22" s="279"/>
      <c r="H22" s="279"/>
    </row>
    <row r="23" spans="1:14" ht="15" thickBot="1" x14ac:dyDescent="0.35">
      <c r="C23" s="280"/>
      <c r="D23" s="53"/>
      <c r="E23" s="280"/>
      <c r="F23" s="280"/>
      <c r="G23" s="280"/>
      <c r="H23" s="280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1609.7560975609756</v>
      </c>
      <c r="K25" s="180">
        <f>table17[[#This Row],[Total GSM]]/$B$37</f>
        <v>0.14634146341463414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(IF(A26="Substrate",(F26*G26)/1000,(D26*G26)/1000))*(1+table17[[#This Row],[Waste
%]])</f>
        <v>3.9600000000000003E-2</v>
      </c>
      <c r="J26" s="179">
        <f>IF(A26="Substrate",(($I$36*F26)/$B$37)*(1+H26),(($I$36*D26)/$B$37)*(1+H26))</f>
        <v>766.55052264808376</v>
      </c>
      <c r="K26" s="180">
        <f>table17[[#This Row],[Total GSM]]/$B$37</f>
        <v>1.7421602787456445E-2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6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574.91289198606285</v>
      </c>
      <c r="K27" s="180">
        <f>table17[[#This Row],[Total GSM]]/$B$37</f>
        <v>2.6132404181184669E-2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8911.1498257839721</v>
      </c>
      <c r="K28" s="180">
        <f>table17[[#This Row],[Total GSM]]/$B$37</f>
        <v>0.81010452961672474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4" t="s">
        <v>38</v>
      </c>
      <c r="B31" s="295"/>
      <c r="C31" s="295"/>
      <c r="D31" s="295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5.0000000000000001E-3</v>
      </c>
      <c r="J31" s="125">
        <f>(SUMIFS(table17[Est.
Required Kgs],table17[Type], "Ink") + SUMIFS(table17[Est.
Required Kgs],table17[Material], "Solvent Base"))*$F$31</f>
        <v>2012.1951219512198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0.98119658119658115</v>
      </c>
      <c r="C35" s="296" t="s">
        <v>66</v>
      </c>
      <c r="D35" s="296"/>
      <c r="E35" s="134">
        <f>IF(C5="Roll", (1000/(C13*C14*B37*0.001*0.001))*C16, IF(C5="Sleeve", (1000/(G14*G15*B37*0.001*0.001))*1, IF(C5="Bag or Pouch", (1000/(K14*K13*B37*0.001*0.001))*1, "")))</f>
        <v>348.43205574912889</v>
      </c>
      <c r="F35" s="296" t="s">
        <v>65</v>
      </c>
      <c r="G35" s="296"/>
      <c r="H35" s="296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</v>
      </c>
      <c r="C36" s="296" t="s">
        <v>59</v>
      </c>
      <c r="D36" s="296"/>
      <c r="E36" s="15">
        <f>1000/E35</f>
        <v>2.87</v>
      </c>
      <c r="F36" s="296" t="s">
        <v>88</v>
      </c>
      <c r="G36" s="296"/>
      <c r="H36" s="296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114.8</v>
      </c>
      <c r="C37" s="296" t="s">
        <v>60</v>
      </c>
      <c r="D37" s="296"/>
      <c r="E37" s="15">
        <f>1000/B37</f>
        <v>8.7108013937282234</v>
      </c>
      <c r="F37" s="296" t="s">
        <v>89</v>
      </c>
      <c r="G37" s="296"/>
      <c r="H37" s="296"/>
      <c r="I37" s="38">
        <f>(I36*1000)/E36/1000</f>
        <v>3484.320557491289</v>
      </c>
    </row>
    <row r="38" spans="1:13" x14ac:dyDescent="0.3">
      <c r="A38" s="2" t="s">
        <v>83</v>
      </c>
      <c r="B38" s="16">
        <f>SUM(I25:I30)+I31</f>
        <v>0.22230500000000003</v>
      </c>
      <c r="C38" s="296" t="s">
        <v>86</v>
      </c>
      <c r="D38" s="296"/>
      <c r="E38" s="15">
        <f>(E37/I35)*1000</f>
        <v>8.5400013664002188</v>
      </c>
      <c r="F38" s="296" t="s">
        <v>135</v>
      </c>
      <c r="G38" s="296"/>
      <c r="H38" s="296"/>
      <c r="I38" s="38">
        <f>I36*E38</f>
        <v>85400.013664002181</v>
      </c>
    </row>
    <row r="39" spans="1:13" x14ac:dyDescent="0.3">
      <c r="C39" s="296" t="s">
        <v>151</v>
      </c>
      <c r="D39" s="296"/>
      <c r="E39" s="15">
        <f>IF(C5="Roll", ((E37/C13)*1000), IF(C5="Sleeve", ((E37/G14)*1000), IF(C5="Bag or Pouch", ((E37/K13)*1000), "")))</f>
        <v>34.843205574912893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3" t="s">
        <v>92</v>
      </c>
      <c r="B44" s="314"/>
      <c r="C44" s="31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16" t="s">
        <v>62</v>
      </c>
      <c r="B46" s="316"/>
      <c r="C46" s="31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16" t="s">
        <v>63</v>
      </c>
      <c r="B47" s="316"/>
      <c r="C47" s="316"/>
      <c r="D47" s="127">
        <f>IF(C5="Roll",(((D46/2)^2-(D44/2)^2)*PI()*C13*B35/1000000),IF(C5="Sleeve",(((D46/2)^2-(D44/2)^2)*PI()*G14*B35/1000000),IF(C5="Bag or Pouch",(((D46/2)^2-(D44/2)^2)*PI()*K13*B35/1000000))))</f>
        <v>63.388940688057041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16" t="s">
        <v>48</v>
      </c>
      <c r="B48" s="316"/>
      <c r="C48" s="316"/>
      <c r="D48" s="128">
        <f>IF(C5="Roll",((D47*1000/B35)/((B36/10000)*(C13/10))/100),IF(C5="Sleeve",((D47*1000/B35)/((B36/10000)*(G14/10))/100),IF(C5="Bag or Pouch",((D47*1000/B35)/((B36/10000)*(K13/10))/100))))</f>
        <v>2208.673891569932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16" t="s">
        <v>85</v>
      </c>
      <c r="B49" s="316"/>
      <c r="C49" s="316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16" t="s">
        <v>64</v>
      </c>
      <c r="B50" s="316"/>
      <c r="C50" s="316"/>
      <c r="D50" s="98">
        <f>(D47*E35)</f>
        <v>22086.738915699316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16" t="s">
        <v>93</v>
      </c>
      <c r="B52" s="316"/>
      <c r="C52" s="316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16" t="s">
        <v>49</v>
      </c>
      <c r="B53" s="316"/>
      <c r="C53" s="31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644.26494805034054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13.730214036834246</v>
      </c>
      <c r="F60" s="204">
        <v>300</v>
      </c>
      <c r="G60" s="207">
        <f>IFERROR(F60*E60,"")</f>
        <v>4119.064211050274</v>
      </c>
      <c r="H60" s="310">
        <f>SUMIF($A$60:$A$69,"true",$G$60:$G$69)</f>
        <v>9496.7315381437129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8.6933342442668113</v>
      </c>
      <c r="F61" s="205">
        <v>300</v>
      </c>
      <c r="G61" s="208">
        <f t="shared" ref="G61:G69" si="2">IFERROR(F61*E61,"")</f>
        <v>2608.0002732800435</v>
      </c>
      <c r="H61" s="311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3.3466671221334061</v>
      </c>
      <c r="F62" s="205">
        <v>50</v>
      </c>
      <c r="G62" s="208">
        <f t="shared" si="2"/>
        <v>167.33335610667029</v>
      </c>
      <c r="H62" s="311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8.1166678053335151</v>
      </c>
      <c r="F63" s="205">
        <v>100</v>
      </c>
      <c r="G63" s="208">
        <f t="shared" si="2"/>
        <v>811.66678053335147</v>
      </c>
      <c r="H63" s="311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8.1166678053335151</v>
      </c>
      <c r="F64" s="205">
        <v>100</v>
      </c>
      <c r="G64" s="208">
        <f t="shared" si="2"/>
        <v>811.66678053335147</v>
      </c>
      <c r="H64" s="311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8.1166678053335151</v>
      </c>
      <c r="F65" s="205">
        <v>100</v>
      </c>
      <c r="G65" s="208">
        <f t="shared" si="2"/>
        <v>811.66678053335147</v>
      </c>
      <c r="H65" s="311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3.3466671221334061</v>
      </c>
      <c r="F66" s="205">
        <v>50</v>
      </c>
      <c r="G66" s="208">
        <f t="shared" si="2"/>
        <v>167.33335610667029</v>
      </c>
      <c r="H66" s="311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311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311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312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0.94967315381437134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00"/>
      <c r="C73" s="301" t="s">
        <v>41</v>
      </c>
      <c r="D73" s="80" t="s">
        <v>91</v>
      </c>
      <c r="E73" s="303" t="s">
        <v>42</v>
      </c>
      <c r="F73" s="305" t="s">
        <v>43</v>
      </c>
      <c r="G73" s="305" t="s">
        <v>107</v>
      </c>
      <c r="H73" s="307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00"/>
      <c r="C74" s="302"/>
      <c r="D74" s="181">
        <v>0.3</v>
      </c>
      <c r="E74" s="304"/>
      <c r="F74" s="306"/>
      <c r="G74" s="306"/>
      <c r="H74" s="308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1.9364547038327529</v>
      </c>
      <c r="D75" s="183">
        <f>C75*D74</f>
        <v>0.58093641114982586</v>
      </c>
      <c r="E75" s="184">
        <v>0.1</v>
      </c>
      <c r="F75" s="184">
        <v>0.2</v>
      </c>
      <c r="G75" s="185">
        <f>H70</f>
        <v>0.94967315381437134</v>
      </c>
      <c r="H75" s="186">
        <f>SUM(C75:G75)</f>
        <v>3.7670642687969504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5.5576250000000007</v>
      </c>
      <c r="D76" s="91">
        <f>(D75/$E$35)*1000</f>
        <v>1.6672875000000003</v>
      </c>
      <c r="E76" s="91">
        <f>(E75/$E$35)*1000</f>
        <v>0.28700000000000003</v>
      </c>
      <c r="F76" s="91">
        <f>(F75/$E$35)*1000</f>
        <v>0.57400000000000007</v>
      </c>
      <c r="G76" s="91">
        <f>(G75/$E$35)*1000</f>
        <v>2.7255619514472462</v>
      </c>
      <c r="H76" s="188">
        <f>SUM(C76:G76)</f>
        <v>10.811474451447246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0.22230500000000003</v>
      </c>
      <c r="D77" s="92">
        <f t="shared" ref="D77:G77" si="3">(D75/$E$37)</f>
        <v>6.6691500000000001E-2</v>
      </c>
      <c r="E77" s="92">
        <f t="shared" si="3"/>
        <v>1.1480000000000001E-2</v>
      </c>
      <c r="F77" s="92">
        <f t="shared" si="3"/>
        <v>2.2960000000000001E-2</v>
      </c>
      <c r="G77" s="92">
        <f t="shared" si="3"/>
        <v>0.10902247805788982</v>
      </c>
      <c r="H77" s="189">
        <f>SUM(C77:G77)</f>
        <v>0.43245897805788985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5.5576250000000008E-2</v>
      </c>
      <c r="D78" s="92">
        <f>(D75/$E$39)</f>
        <v>1.6672875E-2</v>
      </c>
      <c r="E78" s="92">
        <f>(E75/$E$39)</f>
        <v>2.8700000000000002E-3</v>
      </c>
      <c r="F78" s="92">
        <f>(F75/$E$39)</f>
        <v>5.7400000000000003E-3</v>
      </c>
      <c r="G78" s="92">
        <f>(G75/$E$39)</f>
        <v>2.7255619514472456E-2</v>
      </c>
      <c r="H78" s="189">
        <f>SUM(C78:G78)</f>
        <v>0.10811474451447246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27.788125000000004</v>
      </c>
      <c r="D79" s="191">
        <f>D78*500</f>
        <v>8.3364375000000006</v>
      </c>
      <c r="E79" s="191">
        <f t="shared" ref="E79:G79" si="4">E78*500</f>
        <v>1.4350000000000001</v>
      </c>
      <c r="F79" s="191">
        <f t="shared" si="4"/>
        <v>2.87</v>
      </c>
      <c r="G79" s="191">
        <f t="shared" si="4"/>
        <v>13.627809757236228</v>
      </c>
      <c r="H79" s="192">
        <f>SUM(C79:G79)</f>
        <v>54.057372257236231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99"/>
      <c r="I82" s="299"/>
      <c r="J82" s="299"/>
      <c r="K82" s="41"/>
      <c r="L82" s="41"/>
      <c r="M82" s="41"/>
      <c r="N82" s="41"/>
    </row>
    <row r="83" spans="1:25" ht="18" x14ac:dyDescent="0.35">
      <c r="A83" s="54"/>
      <c r="B83" s="298" t="s">
        <v>136</v>
      </c>
      <c r="C83" s="298"/>
      <c r="D83" s="298"/>
      <c r="E83" s="298"/>
      <c r="F83" s="298"/>
      <c r="G83" s="298"/>
      <c r="H83" s="298"/>
      <c r="I83" s="298"/>
      <c r="J83" s="298"/>
      <c r="K83" s="298"/>
      <c r="L83" s="298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09"/>
      <c r="I88" s="309"/>
      <c r="J88" s="213"/>
      <c r="K88" s="309"/>
      <c r="L88" s="309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0.12829059076559296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</v>
      </c>
      <c r="E92" s="147">
        <f t="shared" ref="E92:E104" si="7">IFERROR(D92*C92,"")</f>
        <v>675</v>
      </c>
      <c r="F92" s="163">
        <f t="shared" ref="F92:F104" si="8">IFERROR(E92/$E$105,"")</f>
        <v>3.395927402618637E-2</v>
      </c>
      <c r="G92" s="10"/>
      <c r="M92" s="41"/>
      <c r="N92" s="41"/>
      <c r="O92" s="41"/>
      <c r="Q92" s="268" t="s">
        <v>159</v>
      </c>
      <c r="R92" s="268"/>
      <c r="S92" s="112">
        <f>H75</f>
        <v>3.7670642687969504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0.10196586464084924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0.58485416378432087</v>
      </c>
      <c r="L94" s="43"/>
      <c r="R94" s="215" t="s">
        <v>45</v>
      </c>
      <c r="S94" s="216" t="s">
        <v>160</v>
      </c>
      <c r="T94" s="272" t="s">
        <v>148</v>
      </c>
      <c r="U94" s="273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2.8861278576471241</v>
      </c>
      <c r="S95" s="211">
        <f>R95/S92</f>
        <v>0.76614776168096488</v>
      </c>
      <c r="T95" s="269">
        <f>R96-R95</f>
        <v>-7.405642907569554E-2</v>
      </c>
      <c r="U95" s="271">
        <f>(R96-R95)/R95</f>
        <v>-2.565944155227725E-2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2.8120714285714286</v>
      </c>
      <c r="S96" s="211">
        <f>R96/S92</f>
        <v>0.74648883796970411</v>
      </c>
      <c r="T96" s="270"/>
      <c r="U96" s="271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0.88093641114982635</v>
      </c>
      <c r="S97" s="218">
        <f>R97/S92</f>
        <v>0.23385223831903515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0.95499284022552189</v>
      </c>
      <c r="S98" s="211">
        <f>R98/S92</f>
        <v>0.25351116203029589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0.15093010678305055</v>
      </c>
    </row>
    <row r="105" spans="1:19" x14ac:dyDescent="0.3">
      <c r="B105" s="41"/>
      <c r="E105" s="141">
        <f>SUM(E91:E104)</f>
        <v>19876.75</v>
      </c>
    </row>
    <row r="106" spans="1:19" x14ac:dyDescent="0.3">
      <c r="B106" s="41"/>
      <c r="D106" s="87" t="s">
        <v>141</v>
      </c>
      <c r="E106" s="140">
        <f>E105/C85</f>
        <v>1.8930238095238094</v>
      </c>
    </row>
    <row r="107" spans="1:19" x14ac:dyDescent="0.3">
      <c r="B107" s="41"/>
      <c r="D107" s="87" t="s">
        <v>142</v>
      </c>
      <c r="E107" s="159">
        <f>(E106-C75)/C75</f>
        <v>-2.2428045553031666E-2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97" t="s">
        <v>145</v>
      </c>
      <c r="C122" s="297"/>
      <c r="D122" s="297"/>
      <c r="E122" s="140">
        <f>E121/C85</f>
        <v>0.919047619047619</v>
      </c>
    </row>
    <row r="123" spans="2:6" x14ac:dyDescent="0.3">
      <c r="B123" s="297" t="s">
        <v>142</v>
      </c>
      <c r="C123" s="297"/>
      <c r="D123" s="297"/>
      <c r="E123" s="159">
        <f>(E122-H70)/H70</f>
        <v>-3.2248500069465565E-2</v>
      </c>
    </row>
  </sheetData>
  <mergeCells count="73"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C36:D36"/>
    <mergeCell ref="F38:H38"/>
    <mergeCell ref="C37:D37"/>
    <mergeCell ref="F37:H37"/>
    <mergeCell ref="F36:H36"/>
    <mergeCell ref="C38:D38"/>
    <mergeCell ref="C21:C23"/>
    <mergeCell ref="A31:D31"/>
    <mergeCell ref="C35:D35"/>
    <mergeCell ref="E21:E23"/>
    <mergeCell ref="F21:F23"/>
    <mergeCell ref="F35:H35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2:C12"/>
    <mergeCell ref="I12:K12"/>
    <mergeCell ref="M12:N12"/>
    <mergeCell ref="E13:F13"/>
    <mergeCell ref="I13:J13"/>
    <mergeCell ref="A1:L1"/>
    <mergeCell ref="A3:B3"/>
    <mergeCell ref="C3:E3"/>
    <mergeCell ref="G3:H3"/>
    <mergeCell ref="I3:L3"/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Q34" sqref="Q34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17" t="s">
        <v>174</v>
      </c>
      <c r="X1" s="317"/>
      <c r="Y1" s="317"/>
      <c r="Z1" s="317"/>
      <c r="AA1" s="317"/>
      <c r="AB1" s="317"/>
      <c r="AC1" s="317"/>
      <c r="AD1" s="317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0.25</v>
      </c>
      <c r="G19" s="103">
        <v>4.5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83" t="s">
        <v>153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74" t="s">
        <v>50</v>
      </c>
      <c r="B3" s="274"/>
      <c r="C3" s="284" t="s">
        <v>131</v>
      </c>
      <c r="D3" s="284"/>
      <c r="E3" s="284"/>
      <c r="F3" s="9"/>
      <c r="G3" s="274" t="s">
        <v>56</v>
      </c>
      <c r="H3" s="274"/>
      <c r="I3" s="284" t="s">
        <v>132</v>
      </c>
      <c r="J3" s="284"/>
      <c r="K3" s="284"/>
      <c r="L3" s="284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74" t="s">
        <v>51</v>
      </c>
      <c r="B5" s="274"/>
      <c r="C5" s="275" t="s">
        <v>1</v>
      </c>
      <c r="D5" s="275"/>
      <c r="E5" s="275"/>
      <c r="F5" s="9"/>
      <c r="G5" s="274" t="s">
        <v>53</v>
      </c>
      <c r="H5" s="274"/>
      <c r="I5" s="276">
        <v>20000</v>
      </c>
      <c r="J5" s="276"/>
      <c r="K5" s="275" t="s">
        <v>2</v>
      </c>
      <c r="L5" s="275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77" t="s">
        <v>54</v>
      </c>
      <c r="B9" s="277"/>
      <c r="C9" s="277"/>
      <c r="O9" s="20"/>
      <c r="P9" s="20"/>
      <c r="Q9" s="20"/>
    </row>
    <row r="10" spans="1:19" ht="15.6" x14ac:dyDescent="0.3">
      <c r="A10" s="277" t="s">
        <v>55</v>
      </c>
      <c r="B10" s="277"/>
      <c r="C10" s="277"/>
      <c r="N10" s="285"/>
      <c r="O10" s="285"/>
      <c r="P10" s="285"/>
      <c r="Q10" s="285"/>
      <c r="R10" s="44"/>
    </row>
    <row r="11" spans="1:19" ht="15" thickBot="1" x14ac:dyDescent="0.35"/>
    <row r="12" spans="1:19" ht="15" thickBot="1" x14ac:dyDescent="0.35">
      <c r="A12" s="289"/>
      <c r="B12" s="289"/>
      <c r="C12" s="289"/>
      <c r="E12" s="331" t="s">
        <v>68</v>
      </c>
      <c r="F12" s="332"/>
      <c r="G12" s="333"/>
      <c r="I12" s="289"/>
      <c r="J12" s="289"/>
      <c r="K12" s="289"/>
      <c r="M12" s="289"/>
      <c r="N12" s="289"/>
      <c r="O12" s="289"/>
    </row>
    <row r="13" spans="1:19" x14ac:dyDescent="0.3">
      <c r="A13" s="278"/>
      <c r="B13" s="278"/>
      <c r="C13" s="21"/>
      <c r="E13" s="334" t="s">
        <v>69</v>
      </c>
      <c r="F13" s="335"/>
      <c r="G13" s="29">
        <v>102</v>
      </c>
      <c r="I13" s="278"/>
      <c r="J13" s="278"/>
      <c r="K13" s="21"/>
      <c r="M13" s="278"/>
      <c r="N13" s="278"/>
      <c r="O13" s="129"/>
    </row>
    <row r="14" spans="1:19" x14ac:dyDescent="0.3">
      <c r="A14" s="278"/>
      <c r="B14" s="278"/>
      <c r="C14" s="21"/>
      <c r="E14" s="290" t="s">
        <v>8</v>
      </c>
      <c r="F14" s="291"/>
      <c r="G14" s="30">
        <v>33</v>
      </c>
      <c r="I14" s="278"/>
      <c r="J14" s="278"/>
      <c r="K14" s="21"/>
      <c r="M14" s="278"/>
      <c r="N14" s="278"/>
      <c r="O14" s="130"/>
      <c r="P14" s="21"/>
      <c r="R14" s="21"/>
    </row>
    <row r="15" spans="1:19" x14ac:dyDescent="0.3">
      <c r="A15" s="278"/>
      <c r="B15" s="278"/>
      <c r="C15" s="131"/>
      <c r="E15" s="329" t="s">
        <v>9</v>
      </c>
      <c r="F15" s="330"/>
      <c r="G15" s="30">
        <v>161</v>
      </c>
      <c r="I15" s="4"/>
      <c r="J15" s="4"/>
      <c r="K15" s="131"/>
      <c r="M15" s="278"/>
      <c r="N15" s="278"/>
      <c r="O15" s="130"/>
      <c r="P15" s="21"/>
      <c r="R15" s="21"/>
    </row>
    <row r="16" spans="1:19" x14ac:dyDescent="0.3">
      <c r="A16" s="278"/>
      <c r="B16" s="278"/>
      <c r="C16" s="6"/>
      <c r="E16" s="23" t="s">
        <v>6</v>
      </c>
      <c r="F16" s="22"/>
      <c r="G16" s="31">
        <v>20</v>
      </c>
      <c r="I16" s="278"/>
      <c r="J16" s="278"/>
      <c r="K16" s="6"/>
      <c r="M16" s="278"/>
      <c r="N16" s="278"/>
      <c r="O16" s="129"/>
    </row>
    <row r="17" spans="1:15" ht="15" thickBot="1" x14ac:dyDescent="0.35">
      <c r="A17" s="278"/>
      <c r="B17" s="278"/>
      <c r="C17" s="6"/>
      <c r="E17" s="292" t="s">
        <v>7</v>
      </c>
      <c r="F17" s="293"/>
      <c r="G17" s="32">
        <v>30</v>
      </c>
      <c r="M17" s="278"/>
      <c r="N17" s="278"/>
      <c r="O17" s="130"/>
    </row>
    <row r="18" spans="1:15" x14ac:dyDescent="0.3">
      <c r="M18" s="278"/>
      <c r="N18" s="278"/>
      <c r="O18" s="101"/>
    </row>
    <row r="19" spans="1:15" x14ac:dyDescent="0.3">
      <c r="M19" s="336"/>
      <c r="N19" s="336"/>
      <c r="O19" s="132"/>
    </row>
    <row r="20" spans="1:15" x14ac:dyDescent="0.3">
      <c r="M20" s="336"/>
      <c r="N20" s="336"/>
      <c r="O20" s="133"/>
    </row>
    <row r="21" spans="1:15" x14ac:dyDescent="0.3">
      <c r="C21" s="279" t="s">
        <v>81</v>
      </c>
      <c r="D21" s="53"/>
      <c r="E21" s="279" t="s">
        <v>81</v>
      </c>
      <c r="F21" s="279"/>
      <c r="G21" s="279" t="s">
        <v>81</v>
      </c>
      <c r="H21" s="279" t="s">
        <v>81</v>
      </c>
    </row>
    <row r="22" spans="1:15" x14ac:dyDescent="0.3">
      <c r="C22" s="279"/>
      <c r="D22" s="53"/>
      <c r="E22" s="279"/>
      <c r="F22" s="279"/>
      <c r="G22" s="279"/>
      <c r="H22" s="279"/>
    </row>
    <row r="23" spans="1:15" ht="15" thickBot="1" x14ac:dyDescent="0.35">
      <c r="C23" s="280"/>
      <c r="D23" s="53"/>
      <c r="E23" s="280"/>
      <c r="F23" s="280"/>
      <c r="G23" s="280"/>
      <c r="H23" s="280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20700.147710487447</v>
      </c>
      <c r="K25" s="75">
        <f>table1[[#This Row],[Total GSM]]/$B$37</f>
        <v>0.94091580502215655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0.25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</v>
      </c>
      <c r="G26" s="71">
        <f>VLOOKUP(B26,Material[],4,FALSE)</f>
        <v>4.5</v>
      </c>
      <c r="H26" s="51">
        <v>0.1</v>
      </c>
      <c r="I26" s="47">
        <f>(IF(A26="Substrate",(F26*G26)/1000,(D26*G26)/1000))*(1+table1[[#This Row],[Waste
%]])</f>
        <v>3.9600000000000003E-2</v>
      </c>
      <c r="J26" s="52">
        <f t="shared" ref="J26" si="1">IF(A26="Substrate",(($I$36*F26)/$B$37)*(1+H26),(($I$36*D26)/$B$37)*(1+H26))</f>
        <v>5199.4091580502218</v>
      </c>
      <c r="K26" s="58">
        <f>table1[[#This Row],[Total GSM]]/$B$37</f>
        <v>5.9084194977843424E-2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4" t="s">
        <v>38</v>
      </c>
      <c r="B31" s="295"/>
      <c r="C31" s="295"/>
      <c r="D31" s="295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2E-3</v>
      </c>
      <c r="J31" s="125">
        <f>(SUMIFS(table1[Est.
Required Kgs],table1[Type], "Ink") + SUMIFS(table1[Est.
Required Kgs],table1[Material], "Solvent Base"))*$F$31</f>
        <v>7799.1137370753331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0.91486486486486496</v>
      </c>
      <c r="C35" s="296" t="s">
        <v>66</v>
      </c>
      <c r="D35" s="296"/>
      <c r="E35" s="35">
        <f>IF(C5="Roll", (1000/(C13*C14*B37*0.001*0.001))*C16, IF(C5="Sleeve", (1000/(G14*G15*B37*0.001*0.001))*1, IF(C5="Bag or Pouch", (1000/(K14*K13*B37*0.001*0.001))*1, "")))</f>
        <v>5560.3420833656528</v>
      </c>
      <c r="F35" s="296" t="s">
        <v>65</v>
      </c>
      <c r="G35" s="296"/>
      <c r="H35" s="296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</v>
      </c>
      <c r="C36" s="296" t="s">
        <v>59</v>
      </c>
      <c r="D36" s="296"/>
      <c r="E36" s="15">
        <f>1000/E35</f>
        <v>0.17984505000000001</v>
      </c>
      <c r="F36" s="296" t="s">
        <v>88</v>
      </c>
      <c r="G36" s="296"/>
      <c r="H36" s="296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33.85</v>
      </c>
      <c r="C37" s="296" t="s">
        <v>60</v>
      </c>
      <c r="D37" s="296"/>
      <c r="E37" s="15">
        <f>1000/B37</f>
        <v>29.542097488921712</v>
      </c>
      <c r="F37" s="296" t="s">
        <v>89</v>
      </c>
      <c r="G37" s="296"/>
      <c r="H37" s="296"/>
      <c r="I37" s="38">
        <f>(I36*1000)/E36/1000</f>
        <v>111206.84166731306</v>
      </c>
    </row>
    <row r="38" spans="1:13" x14ac:dyDescent="0.3">
      <c r="A38" s="2" t="s">
        <v>83</v>
      </c>
      <c r="B38" s="16">
        <f>SUM(I25:I30)+I31</f>
        <v>0.10466300000000001</v>
      </c>
      <c r="C38" s="296" t="s">
        <v>86</v>
      </c>
      <c r="D38" s="296"/>
      <c r="E38" s="15">
        <f>(E37/I35)*1000</f>
        <v>29.249601474179915</v>
      </c>
      <c r="F38" s="296" t="s">
        <v>87</v>
      </c>
      <c r="G38" s="296"/>
      <c r="H38" s="296"/>
      <c r="I38" s="38">
        <f>I36*E38</f>
        <v>584992.02948359831</v>
      </c>
    </row>
    <row r="39" spans="1:13" x14ac:dyDescent="0.3">
      <c r="C39" s="296" t="s">
        <v>151</v>
      </c>
      <c r="D39" s="296"/>
      <c r="E39" s="15">
        <f>IF(C5="Roll", ((E37/C13)*1000), IF(C5="Sleeve", ((E37/G14)*1000), IF(C5="Bag or Pouch", ((E37/K13)*1000), "")))</f>
        <v>895.2150754218701</v>
      </c>
    </row>
    <row r="40" spans="1:13" x14ac:dyDescent="0.3">
      <c r="C40" s="296"/>
      <c r="D40" s="296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3" t="s">
        <v>92</v>
      </c>
      <c r="B44" s="314"/>
      <c r="C44" s="31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16" t="s">
        <v>62</v>
      </c>
      <c r="B46" s="316"/>
      <c r="C46" s="31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16" t="s">
        <v>63</v>
      </c>
      <c r="B47" s="316"/>
      <c r="C47" s="316"/>
      <c r="D47" s="95">
        <f>IF(C5="Roll",(((D46/2)^2-(D44/2)^2)*PI()*C13*B35/1000000),IF(C5="Sleeve",(((D46/2)^2-(D44/2)^2)*PI()*G14*B35/1000000),IF(C5="Bag or Pouch",(((D46/2)^2-(D44/2)^2)*PI()*K13*B35/1000000))))</f>
        <v>7.801683863720231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16" t="s">
        <v>48</v>
      </c>
      <c r="B48" s="316"/>
      <c r="C48" s="316"/>
      <c r="D48" s="96">
        <f>IF(C5="Roll",((D47*1000/B35)/((B36/10000)*(C13/10))/100),IF(C5="Sleeve",((D47*1000/B35)/((B36/10000)*(G14/10))/100),IF(C5="Bag or Pouch",((D47*1000/B35)/((B36/10000)*(K13/10))/100))))</f>
        <v>6984.1850084778926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16" t="s">
        <v>85</v>
      </c>
      <c r="B49" s="316"/>
      <c r="C49" s="316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16" t="s">
        <v>64</v>
      </c>
      <c r="B50" s="316"/>
      <c r="C50" s="316"/>
      <c r="D50" s="98">
        <f>(D47*E35)</f>
        <v>43380.031108558345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16" t="s">
        <v>93</v>
      </c>
      <c r="B52" s="316"/>
      <c r="C52" s="316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16" t="s">
        <v>49</v>
      </c>
      <c r="B53" s="316"/>
      <c r="C53" s="31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1739.3365512543585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26">
        <f>SUMIF($A$60:$A$69,"true",$G$60:$G$69)</f>
        <v>145298.03393928759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41.999468632239889</v>
      </c>
      <c r="F61" s="113">
        <v>300</v>
      </c>
      <c r="G61" s="114">
        <f t="shared" ref="G61:G68" si="3">F61*E61</f>
        <v>12599.840589671967</v>
      </c>
      <c r="H61" s="327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27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27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27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27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19.999734316119945</v>
      </c>
      <c r="F66" s="113">
        <v>50</v>
      </c>
      <c r="G66" s="114">
        <f t="shared" si="3"/>
        <v>999.98671580599728</v>
      </c>
      <c r="H66" s="327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585.49202948359846</v>
      </c>
      <c r="F67" s="113">
        <v>100</v>
      </c>
      <c r="G67" s="114">
        <f t="shared" si="3"/>
        <v>58549.202948359845</v>
      </c>
      <c r="H67" s="327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1462.9800737089959</v>
      </c>
      <c r="F68" s="113">
        <v>50</v>
      </c>
      <c r="G68" s="114">
        <f t="shared" si="3"/>
        <v>73149.003685449788</v>
      </c>
      <c r="H68" s="327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28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7.2649016969643796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00"/>
      <c r="C73" s="301" t="s">
        <v>41</v>
      </c>
      <c r="D73" s="80" t="s">
        <v>91</v>
      </c>
      <c r="E73" s="303" t="s">
        <v>42</v>
      </c>
      <c r="F73" s="305" t="s">
        <v>43</v>
      </c>
      <c r="G73" s="305" t="s">
        <v>107</v>
      </c>
      <c r="H73" s="307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00"/>
      <c r="C74" s="302"/>
      <c r="D74" s="181">
        <v>0.3</v>
      </c>
      <c r="E74" s="304"/>
      <c r="F74" s="306"/>
      <c r="G74" s="306"/>
      <c r="H74" s="308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3.0919645494830132</v>
      </c>
      <c r="D75" s="183">
        <f>C75*D74</f>
        <v>0.92758936484490395</v>
      </c>
      <c r="E75" s="184">
        <v>0.1</v>
      </c>
      <c r="F75" s="184">
        <v>0.2</v>
      </c>
      <c r="G75" s="184">
        <f>H70</f>
        <v>7.2649016969643796</v>
      </c>
      <c r="H75" s="186">
        <f>SUM(C75:G75)</f>
        <v>11.584455611292297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0.55607451900000004</v>
      </c>
      <c r="D76" s="91">
        <f>(D75/$E$35)*1000</f>
        <v>0.16682235569999998</v>
      </c>
      <c r="E76" s="91">
        <f>(E75/$E$35)*1000</f>
        <v>1.7984505000000001E-2</v>
      </c>
      <c r="F76" s="91">
        <f>(F75/$E$35)*1000</f>
        <v>3.5969010000000003E-2</v>
      </c>
      <c r="G76" s="91">
        <f>(G75/$E$35)*1000</f>
        <v>1.3065566089356435</v>
      </c>
      <c r="H76" s="188">
        <f>SUM(C76:G76)</f>
        <v>2.0834069986356436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0.10466300000000001</v>
      </c>
      <c r="D77" s="92">
        <f t="shared" ref="D77:F77" si="4">(D75/$E$37)</f>
        <v>3.13989E-2</v>
      </c>
      <c r="E77" s="92">
        <f t="shared" si="4"/>
        <v>3.3850000000000004E-3</v>
      </c>
      <c r="F77" s="92">
        <f t="shared" si="4"/>
        <v>6.7700000000000008E-3</v>
      </c>
      <c r="G77" s="92">
        <f t="shared" ref="G77" si="5">(G75/$E$37)</f>
        <v>0.24591692244224425</v>
      </c>
      <c r="H77" s="189">
        <f>SUM(C77:G77)</f>
        <v>0.39213382244224426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3.453879E-3</v>
      </c>
      <c r="D78" s="92">
        <f>(D75/$E$39)</f>
        <v>1.0361636999999999E-3</v>
      </c>
      <c r="E78" s="92">
        <f>(E75/$E$39)</f>
        <v>1.11705E-4</v>
      </c>
      <c r="F78" s="92">
        <f>(F75/$E$39)</f>
        <v>2.2341E-4</v>
      </c>
      <c r="G78" s="92">
        <f>(G75/$E$39)</f>
        <v>8.1152584405940597E-3</v>
      </c>
      <c r="H78" s="189">
        <f>SUM(C78:G78)</f>
        <v>1.294041614059406E-2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1.7269395000000001</v>
      </c>
      <c r="D79" s="191">
        <f>D78*500</f>
        <v>0.51808184999999995</v>
      </c>
      <c r="E79" s="191">
        <f t="shared" ref="E79:G79" si="6">E78*500</f>
        <v>5.5852499999999999E-2</v>
      </c>
      <c r="F79" s="191">
        <f t="shared" si="6"/>
        <v>0.111705</v>
      </c>
      <c r="G79" s="191">
        <f t="shared" si="6"/>
        <v>4.0576292202970299</v>
      </c>
      <c r="H79" s="192">
        <f>SUM(C79:G79)</f>
        <v>6.4702080702970299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99"/>
      <c r="I82" s="299"/>
      <c r="J82" s="299"/>
      <c r="K82" s="41"/>
      <c r="L82" s="41"/>
      <c r="M82" s="41"/>
      <c r="N82" s="41"/>
    </row>
    <row r="83" spans="1:21" ht="18" x14ac:dyDescent="0.35">
      <c r="A83" s="54"/>
      <c r="B83" s="298" t="s">
        <v>136</v>
      </c>
      <c r="C83" s="298"/>
      <c r="D83" s="298"/>
      <c r="E83" s="298"/>
      <c r="F83" s="298"/>
      <c r="G83" s="298"/>
      <c r="H83" s="298"/>
      <c r="I83" s="298"/>
      <c r="J83" s="298"/>
      <c r="K83" s="298"/>
      <c r="L83" s="298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18" t="s">
        <v>146</v>
      </c>
      <c r="I87" s="319"/>
      <c r="J87" s="17" t="s">
        <v>148</v>
      </c>
      <c r="K87" s="320" t="s">
        <v>147</v>
      </c>
      <c r="L87" s="321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22">
        <f>C75+H70</f>
        <v>10.356866246447392</v>
      </c>
      <c r="I88" s="323"/>
      <c r="J88" s="162">
        <f>(K88-H88)/H88</f>
        <v>0.95343569181762111</v>
      </c>
      <c r="K88" s="324">
        <f>E106+E122</f>
        <v>20.231472181191531</v>
      </c>
      <c r="L88" s="325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0.10323613646002601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5459.3796159527328</v>
      </c>
      <c r="D92" s="142">
        <f t="shared" si="8"/>
        <v>4.5</v>
      </c>
      <c r="E92" s="147">
        <f t="shared" ref="E92:E104" si="10">IFERROR(D92*C92,"")</f>
        <v>24567.208271787298</v>
      </c>
      <c r="F92" s="163">
        <f t="shared" ref="F92:F104" si="11">IFERROR(E92/$E$105,"")</f>
        <v>0.88063321721809495</v>
      </c>
      <c r="P92" s="222"/>
      <c r="Q92" s="268" t="s">
        <v>159</v>
      </c>
      <c r="R92" s="268"/>
      <c r="S92" s="112">
        <f>H75</f>
        <v>11.584455611292297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72" t="s">
        <v>148</v>
      </c>
      <c r="U94" s="273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10.356866246447392</v>
      </c>
      <c r="S95" s="211">
        <f>R95/S92</f>
        <v>0.89403132904680693</v>
      </c>
      <c r="T95" s="269">
        <f>R96-R95</f>
        <v>9.8746059347441388</v>
      </c>
      <c r="U95" s="271">
        <f>(R96-R95)/R95</f>
        <v>0.95343569181762111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20.231472181191531</v>
      </c>
      <c r="S96" s="211">
        <f>R96/S92</f>
        <v>1.7464327077631765</v>
      </c>
      <c r="T96" s="270"/>
      <c r="U96" s="271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1.2275893648449046</v>
      </c>
      <c r="S97" s="218">
        <f>R97/S92</f>
        <v>0.10596867095319308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-8.6470165698992343</v>
      </c>
      <c r="S98" s="211">
        <f>R98/S92</f>
        <v>-0.74643270776317661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1.6130646321879064E-2</v>
      </c>
      <c r="P104" s="222"/>
    </row>
    <row r="105" spans="2:19" x14ac:dyDescent="0.3">
      <c r="B105" s="41"/>
      <c r="E105" s="141">
        <f>SUM(E91:E104)</f>
        <v>27897.208271787298</v>
      </c>
      <c r="P105" s="222"/>
    </row>
    <row r="106" spans="2:19" x14ac:dyDescent="0.3">
      <c r="B106" s="41"/>
      <c r="D106" s="87" t="s">
        <v>141</v>
      </c>
      <c r="E106" s="140">
        <f>E105/C85</f>
        <v>18.598138847858198</v>
      </c>
      <c r="P106" s="222"/>
    </row>
    <row r="107" spans="2:19" x14ac:dyDescent="0.3">
      <c r="B107" s="41"/>
      <c r="D107" s="87" t="s">
        <v>142</v>
      </c>
      <c r="E107" s="159">
        <f>(E106-C75)/C75</f>
        <v>5.0149909710212786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97" t="s">
        <v>145</v>
      </c>
      <c r="C122" s="297"/>
      <c r="D122" s="297"/>
      <c r="E122" s="140">
        <f>E121/C85</f>
        <v>1.6333333333333333</v>
      </c>
      <c r="P122" s="222"/>
    </row>
    <row r="123" spans="2:16" x14ac:dyDescent="0.3">
      <c r="B123" s="297" t="s">
        <v>142</v>
      </c>
      <c r="C123" s="297"/>
      <c r="D123" s="297"/>
      <c r="E123" s="159">
        <f>(E122-H70)/H70</f>
        <v>-0.77517475095143862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Q92:R92"/>
    <mergeCell ref="T94:U94"/>
    <mergeCell ref="T95:T96"/>
    <mergeCell ref="U95:U96"/>
    <mergeCell ref="M17:N17"/>
    <mergeCell ref="M18:N18"/>
    <mergeCell ref="M19:N20"/>
    <mergeCell ref="C21:C23"/>
    <mergeCell ref="E21:E23"/>
    <mergeCell ref="H21:H23"/>
    <mergeCell ref="F21:F23"/>
    <mergeCell ref="E17:F17"/>
    <mergeCell ref="G21:G23"/>
    <mergeCell ref="M12:O12"/>
    <mergeCell ref="M13:N13"/>
    <mergeCell ref="M14:N14"/>
    <mergeCell ref="M15:N15"/>
    <mergeCell ref="M16:N16"/>
    <mergeCell ref="I16:J16"/>
    <mergeCell ref="E15:F15"/>
    <mergeCell ref="E12:G12"/>
    <mergeCell ref="E13:F13"/>
    <mergeCell ref="E14:F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G73:G74"/>
    <mergeCell ref="H82:J82"/>
    <mergeCell ref="A48:C48"/>
    <mergeCell ref="A53:C53"/>
    <mergeCell ref="E73:E74"/>
    <mergeCell ref="F73:F74"/>
    <mergeCell ref="H73:H74"/>
    <mergeCell ref="H60:H69"/>
    <mergeCell ref="B122:D122"/>
    <mergeCell ref="B123:D123"/>
    <mergeCell ref="B83:L83"/>
    <mergeCell ref="H87:I87"/>
    <mergeCell ref="K87:L87"/>
    <mergeCell ref="H88:I88"/>
    <mergeCell ref="K88:L88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83" t="s">
        <v>153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74" t="s">
        <v>50</v>
      </c>
      <c r="B3" s="274"/>
      <c r="C3" s="284" t="s">
        <v>133</v>
      </c>
      <c r="D3" s="284"/>
      <c r="E3" s="284"/>
      <c r="F3" s="9"/>
      <c r="G3" s="274" t="s">
        <v>56</v>
      </c>
      <c r="H3" s="274"/>
      <c r="I3" s="284" t="s">
        <v>134</v>
      </c>
      <c r="J3" s="284"/>
      <c r="K3" s="284"/>
      <c r="L3" s="284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74" t="s">
        <v>51</v>
      </c>
      <c r="B5" s="274"/>
      <c r="C5" s="275" t="s">
        <v>52</v>
      </c>
      <c r="D5" s="275"/>
      <c r="E5" s="275"/>
      <c r="F5" s="9"/>
      <c r="G5" s="274" t="s">
        <v>53</v>
      </c>
      <c r="H5" s="274"/>
      <c r="I5" s="276">
        <v>500</v>
      </c>
      <c r="J5" s="276"/>
      <c r="K5" s="275" t="s">
        <v>3</v>
      </c>
      <c r="L5" s="275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77" t="s">
        <v>54</v>
      </c>
      <c r="B9" s="277"/>
      <c r="C9" s="277"/>
      <c r="O9" s="20"/>
      <c r="P9" s="20"/>
      <c r="Q9" s="20"/>
    </row>
    <row r="10" spans="1:19" ht="15.6" x14ac:dyDescent="0.3">
      <c r="A10" s="277" t="s">
        <v>55</v>
      </c>
      <c r="B10" s="277"/>
      <c r="C10" s="277"/>
      <c r="N10" s="285"/>
      <c r="O10" s="285"/>
      <c r="P10" s="285"/>
      <c r="Q10" s="285"/>
      <c r="R10" s="44"/>
    </row>
    <row r="11" spans="1:19" ht="15" thickBot="1" x14ac:dyDescent="0.35"/>
    <row r="12" spans="1:19" ht="15" thickBot="1" x14ac:dyDescent="0.35">
      <c r="A12" s="289"/>
      <c r="B12" s="289"/>
      <c r="C12" s="289"/>
      <c r="E12" s="289"/>
      <c r="F12" s="289"/>
      <c r="G12" s="289"/>
      <c r="I12" s="337" t="s">
        <v>70</v>
      </c>
      <c r="J12" s="338"/>
      <c r="K12" s="339"/>
      <c r="M12" s="337" t="s">
        <v>73</v>
      </c>
      <c r="N12" s="338"/>
      <c r="O12" s="339"/>
    </row>
    <row r="13" spans="1:19" x14ac:dyDescent="0.3">
      <c r="A13" s="278"/>
      <c r="B13" s="278"/>
      <c r="C13" s="21"/>
      <c r="E13" s="278"/>
      <c r="F13" s="278"/>
      <c r="G13" s="21"/>
      <c r="I13" s="334" t="s">
        <v>71</v>
      </c>
      <c r="J13" s="335"/>
      <c r="K13" s="29">
        <v>720</v>
      </c>
      <c r="M13" s="334" t="s">
        <v>75</v>
      </c>
      <c r="N13" s="335"/>
      <c r="O13" s="33">
        <v>6.94</v>
      </c>
    </row>
    <row r="14" spans="1:19" x14ac:dyDescent="0.3">
      <c r="A14" s="278"/>
      <c r="B14" s="278"/>
      <c r="C14" s="21"/>
      <c r="E14" s="278"/>
      <c r="F14" s="278"/>
      <c r="G14" s="21"/>
      <c r="I14" s="290" t="s">
        <v>72</v>
      </c>
      <c r="J14" s="291"/>
      <c r="K14" s="30">
        <v>310</v>
      </c>
      <c r="M14" s="290" t="s">
        <v>76</v>
      </c>
      <c r="N14" s="291"/>
      <c r="O14" s="34">
        <v>0.25</v>
      </c>
      <c r="P14" s="21"/>
      <c r="R14" s="21"/>
    </row>
    <row r="15" spans="1:19" x14ac:dyDescent="0.3">
      <c r="A15" s="278"/>
      <c r="B15" s="278"/>
      <c r="C15" s="131"/>
      <c r="E15" s="278"/>
      <c r="F15" s="278"/>
      <c r="G15" s="21"/>
      <c r="I15" s="23" t="s">
        <v>6</v>
      </c>
      <c r="J15" s="22"/>
      <c r="K15" s="31">
        <v>20</v>
      </c>
      <c r="M15" s="290" t="s">
        <v>74</v>
      </c>
      <c r="N15" s="291"/>
      <c r="O15" s="24">
        <f>O14/O13</f>
        <v>3.6023054755043228E-2</v>
      </c>
      <c r="P15" s="21"/>
      <c r="R15" s="21"/>
    </row>
    <row r="16" spans="1:19" ht="15" thickBot="1" x14ac:dyDescent="0.35">
      <c r="A16" s="278"/>
      <c r="B16" s="278"/>
      <c r="C16" s="6"/>
      <c r="E16" s="4"/>
      <c r="F16" s="4"/>
      <c r="G16" s="131"/>
      <c r="I16" s="292" t="s">
        <v>7</v>
      </c>
      <c r="J16" s="293"/>
      <c r="K16" s="32">
        <v>3</v>
      </c>
      <c r="M16" s="290" t="s">
        <v>77</v>
      </c>
      <c r="N16" s="291"/>
      <c r="O16" s="25">
        <f>K14*O13*0.001</f>
        <v>2.1514000000000002</v>
      </c>
    </row>
    <row r="17" spans="1:15" x14ac:dyDescent="0.3">
      <c r="A17" s="278"/>
      <c r="B17" s="278"/>
      <c r="C17" s="6"/>
      <c r="E17" s="278"/>
      <c r="F17" s="278"/>
      <c r="G17" s="6"/>
      <c r="M17" s="290" t="s">
        <v>78</v>
      </c>
      <c r="N17" s="291"/>
      <c r="O17" s="24">
        <f>O16*O15</f>
        <v>7.7500000000000013E-2</v>
      </c>
    </row>
    <row r="18" spans="1:15" x14ac:dyDescent="0.3">
      <c r="M18" s="290" t="s">
        <v>79</v>
      </c>
      <c r="N18" s="291"/>
      <c r="O18" s="26">
        <f>O17*E35</f>
        <v>2.0095041508317739</v>
      </c>
    </row>
    <row r="19" spans="1:15" x14ac:dyDescent="0.3">
      <c r="M19" s="342" t="s">
        <v>80</v>
      </c>
      <c r="N19" s="343"/>
      <c r="O19" s="27">
        <f>(O16*I37*1000)/O13</f>
        <v>155000</v>
      </c>
    </row>
    <row r="20" spans="1:15" ht="15" thickBot="1" x14ac:dyDescent="0.35">
      <c r="M20" s="344"/>
      <c r="N20" s="345"/>
      <c r="O20" s="28">
        <f>O16*I37</f>
        <v>1075.7</v>
      </c>
    </row>
    <row r="21" spans="1:15" x14ac:dyDescent="0.3">
      <c r="C21" s="279" t="s">
        <v>81</v>
      </c>
      <c r="D21" s="53"/>
      <c r="E21" s="279" t="s">
        <v>81</v>
      </c>
      <c r="F21" s="279"/>
      <c r="G21" s="279" t="s">
        <v>81</v>
      </c>
      <c r="H21" s="279" t="s">
        <v>81</v>
      </c>
    </row>
    <row r="22" spans="1:15" x14ac:dyDescent="0.3">
      <c r="C22" s="279"/>
      <c r="D22" s="53"/>
      <c r="E22" s="279"/>
      <c r="F22" s="279"/>
      <c r="G22" s="279"/>
      <c r="H22" s="279"/>
    </row>
    <row r="23" spans="1:15" ht="15" thickBot="1" x14ac:dyDescent="0.35">
      <c r="C23" s="280"/>
      <c r="D23" s="53"/>
      <c r="E23" s="280"/>
      <c r="F23" s="280"/>
      <c r="G23" s="280"/>
      <c r="H23" s="280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9.7227848833844541E-2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0.25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</v>
      </c>
      <c r="G26" s="176">
        <f>VLOOKUP(B26,Material[],4,FALSE)</f>
        <v>4.5</v>
      </c>
      <c r="H26" s="177">
        <v>0.1</v>
      </c>
      <c r="I26" s="178">
        <f>(IF(A26="Substrate",(F26*G26)/1000,(D26*G26)/1000))*(1+table111[[#This Row],[Waste
%]])</f>
        <v>3.9600000000000003E-2</v>
      </c>
      <c r="J26" s="179">
        <f t="shared" si="0"/>
        <v>982.08000000000015</v>
      </c>
      <c r="K26" s="180">
        <f>table111[[#This Row],[Total GSM]]/$B$37</f>
        <v>1.1574743908791018E-2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1.7362115863186527E-2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2994.1164000000008</v>
      </c>
      <c r="K28" s="180">
        <f>table111[[#This Row],[Total GSM]]/$B$37</f>
        <v>0.14115400196770647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1.7362115863186527E-2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0.53243821980438688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491.04000000000008</v>
      </c>
      <c r="K31" s="180">
        <f>table111[[#This Row],[Total GSM]]/$B$37</f>
        <v>2.3149487817582037E-2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0.15973146594131607</v>
      </c>
    </row>
    <row r="33" spans="1:14" ht="15" thickBot="1" x14ac:dyDescent="0.35">
      <c r="A33" s="340" t="s">
        <v>38</v>
      </c>
      <c r="B33" s="341"/>
      <c r="C33" s="341"/>
      <c r="D33" s="341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7.4999999999999997E-3</v>
      </c>
      <c r="J33" s="199">
        <f>(SUMIFS(table111[Est.
Required Kgs],table111[Type], "Ink") + SUMIFS(table111[Est.
Required Kgs],table111[Material], "Solvent Base"))*$F$33</f>
        <v>1718.6400000000003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1.0600613496932514</v>
      </c>
      <c r="C35" s="296" t="s">
        <v>66</v>
      </c>
      <c r="D35" s="296"/>
      <c r="E35" s="35">
        <f>IF(C5="Roll", (1000/(C13*C14*B37*0.001*0.001))*C16, IF(C5="Sleeve", (1000/(G14*G15*B37*0.001*0.001))*1, IF(C5="Bag or Pouch", (1000/(K14*K13*B37*0.001*0.001))*1, "")))</f>
        <v>25.929085817184177</v>
      </c>
      <c r="F35" s="296" t="s">
        <v>65</v>
      </c>
      <c r="G35" s="296"/>
      <c r="H35" s="296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</v>
      </c>
      <c r="C36" s="296" t="s">
        <v>59</v>
      </c>
      <c r="D36" s="296"/>
      <c r="E36" s="15">
        <f>1000/E35</f>
        <v>38.566728000000005</v>
      </c>
      <c r="F36" s="296" t="s">
        <v>88</v>
      </c>
      <c r="G36" s="296"/>
      <c r="H36" s="296"/>
      <c r="I36" s="38">
        <f>IF(UnitsDD="Kgs", I5,
 IF(UnitsDD="Kpcs", I5*E36,
 IF(UnitsDD="SQM", I5/E37,
 IF(UnitsDD="LM", I5/E39,
 IF(UnitsDD="Roll 500 LM", (I5/E39)*500, "")))))</f>
        <v>19283.364000000001</v>
      </c>
      <c r="K36" s="13"/>
    </row>
    <row r="37" spans="1:14" x14ac:dyDescent="0.3">
      <c r="A37" s="2" t="s">
        <v>15</v>
      </c>
      <c r="B37" s="37">
        <f>SUM(F25:F32)</f>
        <v>172.79</v>
      </c>
      <c r="C37" s="296" t="s">
        <v>60</v>
      </c>
      <c r="D37" s="296"/>
      <c r="E37" s="15">
        <f>1000/B37</f>
        <v>5.7873719543955096</v>
      </c>
      <c r="F37" s="296" t="s">
        <v>89</v>
      </c>
      <c r="G37" s="296"/>
      <c r="H37" s="296"/>
      <c r="I37" s="38">
        <f>(I36*1000)/E36/1000</f>
        <v>499.99999999999994</v>
      </c>
    </row>
    <row r="38" spans="1:14" x14ac:dyDescent="0.3">
      <c r="A38" s="2" t="s">
        <v>83</v>
      </c>
      <c r="B38" s="16">
        <f>SUM(I25:I32)+I33</f>
        <v>0.37950350000000005</v>
      </c>
      <c r="C38" s="296" t="s">
        <v>86</v>
      </c>
      <c r="D38" s="296"/>
      <c r="E38" s="15">
        <f>(E37/I35)*1000</f>
        <v>6.0919704783110626</v>
      </c>
      <c r="F38" s="296" t="s">
        <v>87</v>
      </c>
      <c r="G38" s="296"/>
      <c r="H38" s="296"/>
      <c r="I38" s="38">
        <f>I36*E38</f>
        <v>117473.68421052633</v>
      </c>
    </row>
    <row r="39" spans="1:14" x14ac:dyDescent="0.3">
      <c r="C39" s="296" t="s">
        <v>61</v>
      </c>
      <c r="D39" s="296"/>
      <c r="E39" s="15">
        <f>IF(C5="Roll", ((E37/C13)*1000), IF(C5="Sleeve", ((E37/G14)*1000), IF(C5="Bag or Pouch", ((E37/K13)*1000), "")))</f>
        <v>8.0380166033270974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313" t="s">
        <v>92</v>
      </c>
      <c r="B44" s="314"/>
      <c r="C44" s="315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316" t="s">
        <v>62</v>
      </c>
      <c r="B46" s="316"/>
      <c r="C46" s="316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316" t="s">
        <v>63</v>
      </c>
      <c r="B47" s="316"/>
      <c r="C47" s="316"/>
      <c r="D47" s="95">
        <f>IF(C5="Roll",(((D46/2)^2-(D44/2)^2)*PI()*C13*B35/1000000),IF(C5="Sleeve",(((D46/2)^2-(D44/2)^2)*PI()*G14*B35/1000000),IF(C5="Bag or Pouch",(((D46/2)^2-(D44/2)^2)*PI()*K13*B35/1000000))))</f>
        <v>35.381970487307228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316" t="s">
        <v>48</v>
      </c>
      <c r="B48" s="316"/>
      <c r="C48" s="316"/>
      <c r="D48" s="96">
        <f>IF(C5="Roll",((D47*1000/B35)/((B36/10000)*(C13/10))/100),IF(C5="Sleeve",((D47*1000/B35)/((B36/10000)*(G14/10))/100),IF(C5="Bag or Pouch",((D47*1000/B35)/((B36/10000)*(K13/10))/100))))</f>
        <v>284.40086623540481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16" t="s">
        <v>85</v>
      </c>
      <c r="B49" s="316"/>
      <c r="C49" s="316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16" t="s">
        <v>64</v>
      </c>
      <c r="B50" s="316"/>
      <c r="C50" s="316"/>
      <c r="D50" s="98">
        <f>(D47*E35)</f>
        <v>917.42214914646695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16" t="s">
        <v>93</v>
      </c>
      <c r="B52" s="316"/>
      <c r="C52" s="316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16" t="s">
        <v>49</v>
      </c>
      <c r="B53" s="316"/>
      <c r="C53" s="31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632.17634485576332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26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27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27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27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27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27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27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27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27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42.166666666666657</v>
      </c>
      <c r="F69" s="122">
        <v>100</v>
      </c>
      <c r="G69" s="123">
        <f>F69*E69</f>
        <v>4216.6666666666661</v>
      </c>
      <c r="H69" s="328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0.88459362651820395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00"/>
      <c r="C73" s="301" t="s">
        <v>41</v>
      </c>
      <c r="D73" s="80" t="s">
        <v>91</v>
      </c>
      <c r="E73" s="303" t="s">
        <v>42</v>
      </c>
      <c r="F73" s="305" t="s">
        <v>43</v>
      </c>
      <c r="G73" s="305" t="s">
        <v>107</v>
      </c>
      <c r="H73" s="307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00"/>
      <c r="C74" s="302"/>
      <c r="D74" s="181">
        <v>0.3</v>
      </c>
      <c r="E74" s="304"/>
      <c r="F74" s="306"/>
      <c r="G74" s="306"/>
      <c r="H74" s="308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2.1963279124949366</v>
      </c>
      <c r="D75" s="183">
        <f>C75*D74</f>
        <v>0.65889837374848093</v>
      </c>
      <c r="E75" s="184">
        <v>0.1</v>
      </c>
      <c r="F75" s="184">
        <v>0.2</v>
      </c>
      <c r="G75" s="184">
        <f>H70</f>
        <v>0.88459362651820395</v>
      </c>
      <c r="H75" s="186">
        <f>SUM(C75:G75)</f>
        <v>4.0398199127616214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84.705181200000041</v>
      </c>
      <c r="D76" s="91">
        <f>(D75/$E$35)*1000</f>
        <v>25.411554360000007</v>
      </c>
      <c r="E76" s="91">
        <f>(E75/$E$35)*1000</f>
        <v>3.8566728000000006</v>
      </c>
      <c r="F76" s="91">
        <f>(F75/$E$35)*1000</f>
        <v>7.7133456000000011</v>
      </c>
      <c r="G76" s="91">
        <f>(G75/$E$35)*1000</f>
        <v>34.115881784461166</v>
      </c>
      <c r="H76" s="188">
        <f>SUM(C76:G76)</f>
        <v>155.80263574446121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0.37950350000000005</v>
      </c>
      <c r="D77" s="92">
        <f t="shared" ref="D77:G77" si="4">(D75/$E$37)</f>
        <v>0.11385105000000001</v>
      </c>
      <c r="E77" s="92">
        <f t="shared" si="4"/>
        <v>1.7278999999999999E-2</v>
      </c>
      <c r="F77" s="92">
        <f t="shared" si="4"/>
        <v>3.4557999999999998E-2</v>
      </c>
      <c r="G77" s="92">
        <f t="shared" si="4"/>
        <v>0.15284893272608044</v>
      </c>
      <c r="H77" s="189">
        <f>SUM(C77:G77)</f>
        <v>0.69804048272608055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0.27324252000000004</v>
      </c>
      <c r="D78" s="92">
        <f>(D75/$E$39)</f>
        <v>8.1972755999999994E-2</v>
      </c>
      <c r="E78" s="92">
        <f>(E75/$E$39)</f>
        <v>1.2440879999999998E-2</v>
      </c>
      <c r="F78" s="92">
        <f>(F75/$E$39)</f>
        <v>2.4881759999999996E-2</v>
      </c>
      <c r="G78" s="92">
        <f>(G75/$E$39)</f>
        <v>0.11005123156277791</v>
      </c>
      <c r="H78" s="189">
        <f>SUM(C78:G78)</f>
        <v>0.50258914756277795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136.62126000000004</v>
      </c>
      <c r="D79" s="191">
        <f>D78*500</f>
        <v>40.986377999999995</v>
      </c>
      <c r="E79" s="191">
        <f t="shared" ref="E79:G79" si="5">E78*500</f>
        <v>6.2204399999999991</v>
      </c>
      <c r="F79" s="191">
        <f t="shared" si="5"/>
        <v>12.440879999999998</v>
      </c>
      <c r="G79" s="191">
        <f t="shared" si="5"/>
        <v>55.02561578138895</v>
      </c>
      <c r="H79" s="192">
        <f>SUM(C79:G79)</f>
        <v>251.29457378138898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99"/>
      <c r="I82" s="299"/>
      <c r="J82" s="299"/>
      <c r="K82" s="41"/>
      <c r="L82" s="41"/>
      <c r="M82" s="41"/>
      <c r="N82" s="41"/>
    </row>
    <row r="83" spans="1:21" ht="18" x14ac:dyDescent="0.35">
      <c r="A83" s="54"/>
      <c r="B83" s="298" t="s">
        <v>136</v>
      </c>
      <c r="C83" s="298"/>
      <c r="D83" s="298"/>
      <c r="E83" s="298"/>
      <c r="F83" s="298"/>
      <c r="G83" s="298"/>
      <c r="H83" s="298"/>
      <c r="I83" s="298"/>
      <c r="J83" s="298"/>
      <c r="K83" s="298"/>
      <c r="L83" s="298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18" t="s">
        <v>146</v>
      </c>
      <c r="I87" s="319"/>
      <c r="J87" s="17" t="s">
        <v>148</v>
      </c>
      <c r="K87" s="320" t="s">
        <v>147</v>
      </c>
      <c r="L87" s="321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22">
        <f>C75+H70</f>
        <v>3.0809215390131408</v>
      </c>
      <c r="I88" s="323"/>
      <c r="J88" s="162">
        <f>(K88-H88)/H88</f>
        <v>5.8472728784905177E-2</v>
      </c>
      <c r="K88" s="324">
        <f>E106+E122</f>
        <v>3.2610714285714288</v>
      </c>
      <c r="L88" s="325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7.4871314927468416E-2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</v>
      </c>
      <c r="E92" s="147">
        <f t="shared" ref="E92:E104" si="8">IFERROR(D92*C92,"")</f>
        <v>3150</v>
      </c>
      <c r="F92" s="163">
        <f t="shared" ref="F92:F104" si="9">IFERROR(E92/$E$105,"")</f>
        <v>9.8268600842302295E-2</v>
      </c>
      <c r="P92" s="222"/>
      <c r="Q92" s="268" t="s">
        <v>159</v>
      </c>
      <c r="R92" s="268"/>
      <c r="S92" s="112">
        <f>H75</f>
        <v>4.0398199127616214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5.2253938543129E-2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0.2402121353922945</v>
      </c>
      <c r="P94" s="222"/>
      <c r="R94" s="215" t="s">
        <v>45</v>
      </c>
      <c r="S94" s="216" t="s">
        <v>160</v>
      </c>
      <c r="T94" s="272" t="s">
        <v>148</v>
      </c>
      <c r="U94" s="273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3.1196381219778507E-2</v>
      </c>
      <c r="P95" s="222"/>
      <c r="Q95" s="212" t="s">
        <v>161</v>
      </c>
      <c r="R95" s="175">
        <f>C75+H70</f>
        <v>3.0809215390131408</v>
      </c>
      <c r="S95" s="211">
        <f>R95/S92</f>
        <v>0.7626383367438333</v>
      </c>
      <c r="T95" s="269">
        <f>R96-R95</f>
        <v>0.18014988955828803</v>
      </c>
      <c r="U95" s="271">
        <f>(R96-R95)/R95</f>
        <v>5.8472728784905177E-2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0.29948525970987366</v>
      </c>
      <c r="K96" s="2"/>
      <c r="L96" s="2"/>
      <c r="P96" s="222"/>
      <c r="Q96" s="212" t="s">
        <v>158</v>
      </c>
      <c r="R96" s="175">
        <f>E106+E122</f>
        <v>3.2610714285714288</v>
      </c>
      <c r="S96" s="211">
        <f>R96/S92</f>
        <v>0.80723188136922663</v>
      </c>
      <c r="T96" s="270"/>
      <c r="U96" s="271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3.9931367961316487E-2</v>
      </c>
      <c r="L97" s="43"/>
      <c r="P97" s="222"/>
      <c r="Q97" s="219" t="s">
        <v>156</v>
      </c>
      <c r="R97" s="217">
        <f>S92-R95</f>
        <v>0.95889837374848064</v>
      </c>
      <c r="S97" s="218">
        <f>R97/S92</f>
        <v>0.23736166325616667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9.3589143659335516E-2</v>
      </c>
      <c r="I98" s="3"/>
      <c r="P98" s="222"/>
      <c r="Q98" s="212" t="s">
        <v>157</v>
      </c>
      <c r="R98" s="175">
        <f>S92-R96</f>
        <v>0.7787484841901926</v>
      </c>
      <c r="S98" s="211">
        <f>R98/S92</f>
        <v>0.19276811863077334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7.0191857744501637E-2</v>
      </c>
      <c r="P104" s="222"/>
    </row>
    <row r="105" spans="2:19" x14ac:dyDescent="0.3">
      <c r="B105" s="41"/>
      <c r="E105" s="141">
        <f>SUM(E91:E104)</f>
        <v>32055</v>
      </c>
      <c r="P105" s="222"/>
    </row>
    <row r="106" spans="2:19" x14ac:dyDescent="0.3">
      <c r="B106" s="41"/>
      <c r="D106" s="87" t="s">
        <v>141</v>
      </c>
      <c r="E106" s="140">
        <f>E105/C85</f>
        <v>2.2896428571428573</v>
      </c>
      <c r="P106" s="222"/>
    </row>
    <row r="107" spans="2:19" x14ac:dyDescent="0.3">
      <c r="B107" s="41"/>
      <c r="D107" s="87" t="s">
        <v>142</v>
      </c>
      <c r="E107" s="159">
        <f>(E106-C75)/C75</f>
        <v>4.2486799952343543E-2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97" t="s">
        <v>145</v>
      </c>
      <c r="C122" s="297"/>
      <c r="D122" s="297"/>
      <c r="E122" s="140">
        <f>E121/C85</f>
        <v>0.97142857142857142</v>
      </c>
      <c r="P122" s="222"/>
    </row>
    <row r="123" spans="2:16" x14ac:dyDescent="0.3">
      <c r="B123" s="297" t="s">
        <v>142</v>
      </c>
      <c r="C123" s="297"/>
      <c r="D123" s="297"/>
      <c r="E123" s="159">
        <f>(E122-H70)/H70</f>
        <v>9.8163656516668904E-2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  <mergeCell ref="C39:D39"/>
    <mergeCell ref="A44:C44"/>
    <mergeCell ref="A46:C46"/>
    <mergeCell ref="A53:C53"/>
    <mergeCell ref="A47:C47"/>
    <mergeCell ref="A48:C48"/>
    <mergeCell ref="A49:C49"/>
    <mergeCell ref="A50:C50"/>
    <mergeCell ref="M18:N18"/>
    <mergeCell ref="M19:N20"/>
    <mergeCell ref="F36:H36"/>
    <mergeCell ref="G21:G23"/>
    <mergeCell ref="H21:H23"/>
    <mergeCell ref="C21:C23"/>
    <mergeCell ref="E21:E23"/>
    <mergeCell ref="F21:F23"/>
    <mergeCell ref="A33:D33"/>
    <mergeCell ref="C35:D35"/>
    <mergeCell ref="F35:H35"/>
    <mergeCell ref="C36:D36"/>
    <mergeCell ref="F38:H38"/>
    <mergeCell ref="C37:D37"/>
    <mergeCell ref="F37:H37"/>
    <mergeCell ref="C38:D38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3:B13"/>
    <mergeCell ref="E13:F13"/>
    <mergeCell ref="I13:J13"/>
    <mergeCell ref="M13:N13"/>
    <mergeCell ref="A14:B14"/>
    <mergeCell ref="E14:F14"/>
    <mergeCell ref="I14:J14"/>
    <mergeCell ref="M14:N14"/>
    <mergeCell ref="A9:C9"/>
    <mergeCell ref="A10:C10"/>
    <mergeCell ref="N10:O10"/>
    <mergeCell ref="P10:Q10"/>
    <mergeCell ref="A12:C12"/>
    <mergeCell ref="E12:G12"/>
    <mergeCell ref="I12:K12"/>
    <mergeCell ref="M12:O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  <mergeCell ref="B122:D122"/>
    <mergeCell ref="B123:D123"/>
    <mergeCell ref="B83:L83"/>
    <mergeCell ref="H87:I87"/>
    <mergeCell ref="K87:L87"/>
    <mergeCell ref="H88:I88"/>
    <mergeCell ref="K88:L88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46" t="s">
        <v>208</v>
      </c>
      <c r="H1" s="346"/>
      <c r="I1" s="346"/>
      <c r="J1" s="346"/>
      <c r="K1" s="346" t="s">
        <v>207</v>
      </c>
      <c r="L1" s="346"/>
      <c r="M1" s="346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47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47"/>
    </row>
    <row r="9" spans="2:17" x14ac:dyDescent="0.3">
      <c r="N9" t="s">
        <v>211</v>
      </c>
      <c r="O9" t="s">
        <v>200</v>
      </c>
      <c r="P9" s="19" t="s">
        <v>195</v>
      </c>
      <c r="Q9" s="347"/>
    </row>
    <row r="10" spans="2:17" x14ac:dyDescent="0.3">
      <c r="N10" t="s">
        <v>212</v>
      </c>
      <c r="O10" t="s">
        <v>197</v>
      </c>
      <c r="P10" s="19" t="s">
        <v>164</v>
      </c>
      <c r="Q10" s="347"/>
    </row>
    <row r="11" spans="2:17" x14ac:dyDescent="0.3">
      <c r="N11" t="s">
        <v>213</v>
      </c>
      <c r="O11" t="s">
        <v>198</v>
      </c>
      <c r="P11" s="19" t="s">
        <v>192</v>
      </c>
      <c r="Q11" s="347"/>
    </row>
    <row r="12" spans="2:17" x14ac:dyDescent="0.3">
      <c r="N12" t="s">
        <v>217</v>
      </c>
      <c r="O12" t="s">
        <v>216</v>
      </c>
      <c r="P12" s="19" t="s">
        <v>193</v>
      </c>
      <c r="Q12" s="347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N17"/>
  <sheetViews>
    <sheetView workbookViewId="0">
      <selection activeCell="C7" sqref="C7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</cols>
  <sheetData>
    <row r="7" spans="7:14" ht="22.8" x14ac:dyDescent="0.3">
      <c r="G7" s="350" t="s">
        <v>325</v>
      </c>
      <c r="H7" s="350" t="s">
        <v>11</v>
      </c>
      <c r="I7" s="350" t="s">
        <v>326</v>
      </c>
      <c r="J7" s="350" t="s">
        <v>327</v>
      </c>
      <c r="K7" s="350" t="s">
        <v>329</v>
      </c>
      <c r="L7" s="350" t="s">
        <v>15</v>
      </c>
      <c r="M7" s="350" t="s">
        <v>330</v>
      </c>
      <c r="N7" s="350" t="s">
        <v>18</v>
      </c>
    </row>
    <row r="8" spans="7:14" ht="14.4" customHeight="1" x14ac:dyDescent="0.3">
      <c r="G8" s="351">
        <v>1</v>
      </c>
      <c r="H8" s="352" t="s">
        <v>34</v>
      </c>
      <c r="I8" s="352" t="s">
        <v>328</v>
      </c>
      <c r="J8" s="352" t="s">
        <v>328</v>
      </c>
      <c r="K8" s="352" t="s">
        <v>328</v>
      </c>
      <c r="L8" s="352" t="s">
        <v>331</v>
      </c>
      <c r="M8" s="352" t="s">
        <v>328</v>
      </c>
      <c r="N8" s="352" t="s">
        <v>331</v>
      </c>
    </row>
    <row r="9" spans="7:14" x14ac:dyDescent="0.3">
      <c r="G9" s="351"/>
      <c r="H9" s="352"/>
      <c r="I9" s="352"/>
      <c r="J9" s="352"/>
      <c r="K9" s="352"/>
      <c r="L9" s="352"/>
      <c r="M9" s="352"/>
      <c r="N9" s="352"/>
    </row>
    <row r="17" spans="7:14" ht="55.2" x14ac:dyDescent="0.3">
      <c r="G17" s="348" t="s">
        <v>37</v>
      </c>
      <c r="H17" s="348" t="s">
        <v>14</v>
      </c>
      <c r="I17" s="348" t="s">
        <v>15</v>
      </c>
      <c r="J17" s="348" t="s">
        <v>16</v>
      </c>
      <c r="K17" s="348" t="s">
        <v>17</v>
      </c>
      <c r="L17" s="348" t="s">
        <v>18</v>
      </c>
      <c r="M17" s="348" t="s">
        <v>19</v>
      </c>
      <c r="N17" s="349" t="s">
        <v>39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74</vt:i4>
      </vt:variant>
    </vt:vector>
  </HeadingPairs>
  <TitlesOfParts>
    <vt:vector size="84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2026-06-23T14:33:44Z</dcterms:modified>
</cp:coreProperties>
</file>