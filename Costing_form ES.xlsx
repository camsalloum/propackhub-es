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E718C521-86A2-4528-90E2-920854712D10}" xr6:coauthVersionLast="47" xr6:coauthVersionMax="47" xr10:uidLastSave="{00000000-0000-0000-0000-000000000000}"/>
  <bookViews>
    <workbookView xWindow="-108" yWindow="-108" windowWidth="23256" windowHeight="12456" activeTab="3" xr2:uid="{8B4D55F6-3FB6-4E47-8881-ACB8C7217C59}"/>
  </bookViews>
  <sheets>
    <sheet name="Substrate Costing Master" sheetId="8" r:id="rId1"/>
    <sheet name="Sheet3" sheetId="9" r:id="rId2"/>
    <sheet name="Roll" sheetId="4" r:id="rId3"/>
    <sheet name="Data" sheetId="2" r:id="rId4"/>
    <sheet name="Sheet1" sheetId="7" r:id="rId5"/>
    <sheet name="Sleeve" sheetId="3" r:id="rId6"/>
    <sheet name="Pouch" sheetId="5" r:id="rId7"/>
    <sheet name="Overall" sheetId="6" r:id="rId8"/>
  </sheets>
  <definedNames>
    <definedName name="_xlnm._FilterDatabase" localSheetId="0" hidden="1">'Substrate Costing Master'!$A$1:$F$46</definedName>
    <definedName name="Adhesive" localSheetId="6">A[Adhesive]</definedName>
    <definedName name="Adhesive" localSheetId="2">A[Adhesive]</definedName>
    <definedName name="Adhesive" localSheetId="5">A[Adhesive]</definedName>
    <definedName name="Adhesive">A[Adhesive]</definedName>
    <definedName name="CO_Pouch" localSheetId="6">Pouch!$K$14</definedName>
    <definedName name="CO_Pouch" localSheetId="2">Roll!$K$14</definedName>
    <definedName name="CO_Pouch">Sleeve!$K$14</definedName>
    <definedName name="CO_Roll" localSheetId="6">Pouch!$C$14</definedName>
    <definedName name="CO_Roll" localSheetId="2">Roll!$C$14</definedName>
    <definedName name="CO_Roll">Sleeve!$C$14</definedName>
    <definedName name="CO_Sleeve" localSheetId="6">Pouch!$G$15</definedName>
    <definedName name="CO_Sleeve" localSheetId="2">Roll!$G$15</definedName>
    <definedName name="CO_Sleeve">Sleeve!$G$15</definedName>
    <definedName name="FLW" localSheetId="6">Pouch!$I$35</definedName>
    <definedName name="FLW" localSheetId="2">Roll!$I$35</definedName>
    <definedName name="FLW">Sleeve!$I$35</definedName>
    <definedName name="Forms">Overall!$G$2:$M$2</definedName>
    <definedName name="Ink" localSheetId="6">Table4[Ink]</definedName>
    <definedName name="Ink" localSheetId="2">Table4[Ink]</definedName>
    <definedName name="Ink" localSheetId="5">Table4[Ink]</definedName>
    <definedName name="Ink">Table4[Ink]</definedName>
    <definedName name="Nb_Ups_Sleeve" localSheetId="6">Pouch!$G$17</definedName>
    <definedName name="Nb_Ups_Sleeve" localSheetId="2">Roll!$G$17</definedName>
    <definedName name="Nb_Ups_Sleeve">Sleeve!$G$17</definedName>
    <definedName name="OQKG" localSheetId="6">Pouch!$I$36</definedName>
    <definedName name="OQKG" localSheetId="2">Roll!$I$36</definedName>
    <definedName name="OQKG">Sleeve!$I$36</definedName>
    <definedName name="OQM" localSheetId="6">Pouch!$I$38</definedName>
    <definedName name="OQM" localSheetId="2">Roll!$I$38</definedName>
    <definedName name="OQM">Sleeve!$I$38</definedName>
    <definedName name="Packaging">A[Packaging]</definedName>
    <definedName name="_xlnm.Print_Area" localSheetId="6">Pouch!$A$1:$O$78</definedName>
    <definedName name="_xlnm.Print_Area" localSheetId="2">Roll!$A$1:$L$79</definedName>
    <definedName name="_xlnm.Print_Area" localSheetId="5">Sleeve!$A$1:$L$78</definedName>
    <definedName name="Ptypes" localSheetId="6">PTypeT[Product Type]</definedName>
    <definedName name="Ptypes" localSheetId="2">PTypeT[Product Type]</definedName>
    <definedName name="Ptypes" localSheetId="5">PTypeT[Product Type]</definedName>
    <definedName name="Ptypes">PTypeT[Product Type]</definedName>
    <definedName name="Substrate" localSheetId="6">Table3[Substrate]</definedName>
    <definedName name="Substrate" localSheetId="2">Table3[Substrate]</definedName>
    <definedName name="Substrate" localSheetId="5">Table3[Substrate]</definedName>
    <definedName name="Substrate">Table3[Substrate]</definedName>
    <definedName name="Substrates" localSheetId="6">Table3[Substrate]</definedName>
    <definedName name="Substrates" localSheetId="2">Table3[Substrate]</definedName>
    <definedName name="Substrates" localSheetId="5">Table3[Substrate]</definedName>
    <definedName name="Substrates">Table3[Substrate]</definedName>
    <definedName name="Type" localSheetId="6">T[Material Type]</definedName>
    <definedName name="Type" localSheetId="2">T[Material Type]</definedName>
    <definedName name="Type" localSheetId="5">T[Material Type]</definedName>
    <definedName name="Type">T[Material Type]</definedName>
    <definedName name="Unit" localSheetId="6">UT[Units]</definedName>
    <definedName name="Unit" localSheetId="2">UT[Units]</definedName>
    <definedName name="Unit" localSheetId="5">UT[Units]</definedName>
    <definedName name="Unit">UT[Units]</definedName>
    <definedName name="UnitsDD" localSheetId="6">Pouch!$K$5</definedName>
    <definedName name="UnitsDD" localSheetId="2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4" l="1"/>
  <c r="E9" i="9"/>
  <c r="H7" i="9"/>
  <c r="H8" i="9"/>
  <c r="H9" i="9" s="1"/>
  <c r="K7" i="9" s="1"/>
  <c r="H6" i="9"/>
  <c r="D2" i="8"/>
  <c r="I9" i="9" l="1"/>
  <c r="K6" i="9"/>
  <c r="K8" i="9"/>
  <c r="O15" i="5" l="1"/>
  <c r="E122" i="5"/>
  <c r="E122" i="3"/>
  <c r="G67" i="4" l="1"/>
  <c r="G68" i="4"/>
  <c r="G69" i="4"/>
  <c r="B120" i="5" l="1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D95" i="5" l="1"/>
  <c r="E95" i="5" s="1"/>
  <c r="D93" i="5"/>
  <c r="E93" i="5" s="1"/>
  <c r="D97" i="5"/>
  <c r="E97" i="5" s="1"/>
  <c r="E121" i="5"/>
  <c r="E121" i="3"/>
  <c r="F112" i="5" l="1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B112" i="4" l="1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F26" i="4" s="1"/>
  <c r="I31" i="4" s="1"/>
  <c r="G25" i="4"/>
  <c r="D91" i="4" s="1"/>
  <c r="E91" i="4" s="1"/>
  <c r="E25" i="4"/>
  <c r="F25" i="4" s="1"/>
  <c r="C25" i="4"/>
  <c r="D49" i="3"/>
  <c r="O17" i="5" l="1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I25" i="4"/>
  <c r="B37" i="4"/>
  <c r="E37" i="4" s="1"/>
  <c r="E39" i="4" s="1"/>
  <c r="I36" i="4" s="1"/>
  <c r="J25" i="4" s="1"/>
  <c r="K31" i="5" l="1"/>
  <c r="B103" i="5"/>
  <c r="D103" i="5" s="1"/>
  <c r="E103" i="5" s="1"/>
  <c r="E38" i="4"/>
  <c r="I38" i="4" s="1"/>
  <c r="E62" i="4" s="1"/>
  <c r="G62" i="4" s="1"/>
  <c r="E65" i="4"/>
  <c r="G65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B101" i="4"/>
  <c r="D101" i="4" s="1"/>
  <c r="E101" i="4" s="1"/>
  <c r="K27" i="4"/>
  <c r="K28" i="4"/>
  <c r="G31" i="3"/>
  <c r="D104" i="3" s="1"/>
  <c r="E104" i="3" s="1"/>
  <c r="E64" i="4" l="1"/>
  <c r="G64" i="4" s="1"/>
  <c r="E61" i="4"/>
  <c r="G61" i="4" s="1"/>
  <c r="E63" i="4"/>
  <c r="G63" i="4" s="1"/>
  <c r="E66" i="4"/>
  <c r="G66" i="4" s="1"/>
  <c r="E105" i="5"/>
  <c r="F101" i="5" s="1"/>
  <c r="D75" i="5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D77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<sst xmlns="http://schemas.openxmlformats.org/spreadsheetml/2006/main" count="787" uniqueCount="325">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</sst>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9" formatCode="\$0.00"/>
  </numFmts>
  <fonts count="4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47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7" borderId="18" xfId="0" applyFill="1" applyBorder="1" applyAlignment="1">
      <alignment horizontal="left"/>
    </xf>
    <xf numFmtId="0" fontId="1" fillId="7" borderId="0" xfId="0" applyFont="1" applyFill="1" applyAlignment="1">
      <alignment horizontal="right"/>
    </xf>
    <xf numFmtId="0" fontId="25" fillId="7" borderId="0" xfId="0" applyFont="1" applyFill="1" applyAlignment="1">
      <alignment horizontal="center"/>
    </xf>
    <xf numFmtId="165" fontId="22" fillId="0" borderId="0" xfId="0" applyNumberFormat="1" applyFont="1" applyAlignment="1">
      <alignment horizontal="center" vertical="top" shrinkToFit="1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27" fillId="10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" fillId="4" borderId="70" xfId="0" applyFont="1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Fill="1" applyBorder="1"/>
    <xf numFmtId="189" fontId="39" fillId="0" borderId="73" xfId="5" applyNumberFormat="1" applyFont="1" applyFill="1" applyBorder="1"/>
    <xf numFmtId="0" fontId="39" fillId="0" borderId="74" xfId="5" applyFont="1" applyFill="1" applyBorder="1"/>
    <xf numFmtId="189" fontId="39" fillId="0" borderId="75" xfId="5" applyNumberFormat="1" applyFont="1" applyFill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Fill="1" applyBorder="1"/>
    <xf numFmtId="0" fontId="39" fillId="0" borderId="80" xfId="5" applyFont="1" applyFill="1" applyBorder="1"/>
    <xf numFmtId="189" fontId="39" fillId="0" borderId="80" xfId="5" applyNumberFormat="1" applyFont="1" applyFill="1" applyBorder="1"/>
    <xf numFmtId="189" fontId="39" fillId="0" borderId="81" xfId="5" applyNumberFormat="1" applyFont="1" applyFill="1" applyBorder="1"/>
    <xf numFmtId="2" fontId="39" fillId="0" borderId="73" xfId="5" applyNumberFormat="1" applyFont="1" applyFill="1" applyBorder="1"/>
    <xf numFmtId="2" fontId="39" fillId="0" borderId="80" xfId="5" applyNumberFormat="1" applyFont="1" applyFill="1" applyBorder="1"/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9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9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0.12829059076559296</c:v>
                </c:pt>
                <c:pt idx="1">
                  <c:v>3.395927402618637E-2</c:v>
                </c:pt>
                <c:pt idx="2">
                  <c:v>0.10196586464084924</c:v>
                </c:pt>
                <c:pt idx="3">
                  <c:v>0.58485416378432087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0.15093010678305055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0.10323613646002601</c:v>
                </c:pt>
                <c:pt idx="1">
                  <c:v>0.88063321721809495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1.6130646321879064E-2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7.4871314927468416E-2</c:v>
                </c:pt>
                <c:pt idx="1">
                  <c:v>9.8268600842302295E-2</c:v>
                </c:pt>
                <c:pt idx="2">
                  <c:v>0.29948525970987366</c:v>
                </c:pt>
                <c:pt idx="3">
                  <c:v>3.9931367961316487E-2</c:v>
                </c:pt>
                <c:pt idx="4">
                  <c:v>9.3589143659335516E-2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7.0191857744501637E-2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3" dataDxfId="4" headerRowBorderDxfId="9" tableBorderDxfId="10" totalsRowBorderDxfId="8" headerRowCellStyle="Normal 2" dataCellStyle="Normal 2">
  <autoFilter ref="A1:F46" xr:uid="{D190CAB3-23AB-4480-A7AB-E53E1B4A3389}"/>
  <tableColumns count="6">
    <tableColumn id="1" xr3:uid="{3B982C09-5FFF-4749-A77B-1A3F304690CC}" name="Substrate Family" dataDxfId="7" dataCellStyle="Normal 2"/>
    <tableColumn id="2" xr3:uid="{F17B36C7-B44A-44E3-87F2-2C18A83E9178}" name="Substrate Grade" dataDxfId="2" dataCellStyle="Normal 2"/>
    <tableColumn id="3" xr3:uid="{625C4FD8-DA79-4673-AA78-B61A17304DF3}" name="Density (g/cm3)" dataDxfId="0" dataCellStyle="Normal 2"/>
    <tableColumn id="4" xr3:uid="{9EE73D4B-D438-4F05-8A77-7CA02A1A151B}" name="Hoover" dataDxfId="1" dataCellStyle="Normal 2"/>
    <tableColumn id="5" xr3:uid="{FB283264-0925-4473-A7EF-E54984885832}" name="User Price" dataDxfId="6" dataCellStyle="Normal 2"/>
    <tableColumn id="6" xr3:uid="{CB02BE89-6280-4DC3-B6D5-7502235403B8}" name="Market Price " dataDxfId="5" dataCellStyle="Normal 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72" dataDxfId="70" headerRowBorderDxfId="71" tableBorderDxfId="69">
  <tableColumns count="11">
    <tableColumn id="1" xr3:uid="{96576271-5AB6-4D1F-A650-9AFB007DB6B2}" name="Type" dataDxfId="68"/>
    <tableColumn id="2" xr3:uid="{D5E0E192-5AD5-4727-9F12-EAD3A3982878}" name="Material" dataDxfId="67"/>
    <tableColumn id="3" xr3:uid="{0DB7A82F-E4FA-413B-A42B-A42EA7407217}" name="Solid_x000a_%" dataDxfId="66" dataCellStyle="Percent">
      <calculatedColumnFormula>VLOOKUP(B25,Material[],3,FALSE)</calculatedColumnFormula>
    </tableColumn>
    <tableColumn id="4" xr3:uid="{229B6022-DBB2-4CCF-A1DD-CAC6A675883F}" name="Micron" dataDxfId="65"/>
    <tableColumn id="5" xr3:uid="{ECD14A31-499F-4FEA-AB58-37B0A4874C9A}" name="Density" dataDxfId="64">
      <calculatedColumnFormula>VLOOKUP(B25,Material[],2,FALSE)</calculatedColumnFormula>
    </tableColumn>
    <tableColumn id="6" xr3:uid="{DAE41353-B150-4A08-BB72-00C15FCE5305}" name="Total GSM" dataDxfId="63">
      <calculatedColumnFormula>IF(A25="Substrate",D25*E25,C25*D25)</calculatedColumnFormula>
    </tableColumn>
    <tableColumn id="7" xr3:uid="{2D2E4074-B605-494F-B5C2-626AD0F02E8D}" name="Cost Per Kg" dataDxfId="62">
      <calculatedColumnFormula>VLOOKUP(B25,Material[],4,FALSE)</calculatedColumnFormula>
    </tableColumn>
    <tableColumn id="8" xr3:uid="{BF124759-5704-403F-A548-F9852A5E0F80}" name="Waste_x000a_%" dataDxfId="61" dataCellStyle="Percent"/>
    <tableColumn id="9" xr3:uid="{DE2AE453-E261-446C-84FD-C8FABCC2AE41}" name="Cost / M²" dataDxfId="60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59">
      <calculatedColumnFormula>IF(A25="Substrate",(($I$36*F25)/$B$37)*(1+H25),(($I$36*D25)/$B$37)*(1+H25))</calculatedColumnFormula>
    </tableColumn>
    <tableColumn id="11" xr3:uid="{7729127E-5092-4133-A3D4-F264CCBA79B7}" name="Layer %" dataDxfId="58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57"/>
    <tableColumn id="4" xr3:uid="{705696B6-E241-4CE0-AFE1-37043FC331F9}" name="Solid" dataCellStyle="Percent"/>
    <tableColumn id="1" xr3:uid="{69EE0737-5119-452D-80EC-62F1CE8D7933}" name="Cost Per Kg" dataDxfId="5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55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54" dataDxfId="53">
  <autoFilter ref="Q1:Q18" xr:uid="{5B46735D-3E62-4411-9491-B2CB027FCCD7}"/>
  <tableColumns count="1">
    <tableColumn id="1" xr3:uid="{9E980FBC-6C44-4579-9F83-F013225FDE31}" name="Substrate" dataDxfId="52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51" dataDxfId="50">
  <autoFilter ref="R1:R9" xr:uid="{18F0352D-76C9-4FE0-B368-CC02D4B9A4DD}"/>
  <tableColumns count="1">
    <tableColumn id="1" xr3:uid="{6C1C3C3D-7FBA-4671-9A3E-6181E3719E8D}" name="Ink" dataDxfId="49"/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48" dataDxfId="47">
  <autoFilter ref="S1:T4" xr:uid="{A0A7022A-2C20-43C3-AA8D-7A4D11FC446B}"/>
  <tableColumns count="2">
    <tableColumn id="1" xr3:uid="{012E7603-7A8C-46AD-914C-FAE7D12FAF3F}" name="Adhesive" dataDxfId="46"/>
    <tableColumn id="2" xr3:uid="{4325B70E-CBBC-4618-9B76-FCD61F8B754A}" name="Packaging" dataDxfId="45"/>
  </tableColumns>
  <tableStyleInfo name="TableStyleLight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44" tableBorderDxfId="43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42">
  <autoFilter ref="M1:M6" xr:uid="{0ACB9144-FE8F-4434-B61E-D494EC9E3ABC}"/>
  <tableColumns count="1">
    <tableColumn id="1" xr3:uid="{031412D9-180B-4257-B711-44F88C9C965F}" name="Units" dataDxfId="4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40" dataDxfId="38" headerRowBorderDxfId="39" tableBorderDxfId="37">
  <tableColumns count="11">
    <tableColumn id="1" xr3:uid="{50FE5CD8-8F96-4285-BA9D-268C0CAD731A}" name="Type" dataDxfId="36"/>
    <tableColumn id="2" xr3:uid="{CDABA659-5E06-4320-B16B-D8FC50A5EC4C}" name="Material" dataDxfId="35"/>
    <tableColumn id="3" xr3:uid="{F30B7E1A-8EC0-487D-B51E-A83F6C0A7696}" name="Solid_x000a_%" dataDxfId="34" dataCellStyle="Percent">
      <calculatedColumnFormula>VLOOKUP(B25,Material[],3,FALSE)</calculatedColumnFormula>
    </tableColumn>
    <tableColumn id="4" xr3:uid="{EC6EB5B0-8D3E-431C-A41E-451AEDDF1CAB}" name="Micron" dataDxfId="33"/>
    <tableColumn id="5" xr3:uid="{0E9EC9A2-097B-4038-90CC-10ACAA2D37C8}" name="Density" dataDxfId="32">
      <calculatedColumnFormula>VLOOKUP(B25,Material[],2,FALSE)</calculatedColumnFormula>
    </tableColumn>
    <tableColumn id="6" xr3:uid="{6DE0F403-F045-4CB7-A93C-BBBB4C2CC36C}" name="Total GSM" dataDxfId="31">
      <calculatedColumnFormula>IF(A25="Substrate",D25*E25,C25*D25)</calculatedColumnFormula>
    </tableColumn>
    <tableColumn id="7" xr3:uid="{6CFF6209-352B-43CE-920D-DA966F28BBF4}" name="Cost Per Kg" dataDxfId="30">
      <calculatedColumnFormula>VLOOKUP(B25,Material[],4,FALSE)</calculatedColumnFormula>
    </tableColumn>
    <tableColumn id="8" xr3:uid="{6570658D-E7B6-433E-BD7F-58AB4E45B978}" name="Waste_x000a_%" dataDxfId="29" dataCellStyle="Percent"/>
    <tableColumn id="9" xr3:uid="{08E47AC7-5580-40EE-AA5E-E63B6D775F19}" name="Cost / M²" dataDxfId="28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27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26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25" dataDxfId="23" headerRowBorderDxfId="24" tableBorderDxfId="22">
  <tableColumns count="11">
    <tableColumn id="1" xr3:uid="{C78D00EE-CC8D-4078-8CF3-F7CA276EB14E}" name="Type" dataDxfId="21"/>
    <tableColumn id="2" xr3:uid="{1D84220D-1AC7-4C20-8698-133A4B852684}" name="Material" dataDxfId="20"/>
    <tableColumn id="3" xr3:uid="{85EF343D-3E7B-4865-8D76-03D11AE9E519}" name="Solid_x000a_%" dataDxfId="19" dataCellStyle="Percent">
      <calculatedColumnFormula>VLOOKUP(B25,Material[],3,FALSE)</calculatedColumnFormula>
    </tableColumn>
    <tableColumn id="4" xr3:uid="{B0482690-6F47-4FE7-9C89-DA01552E21F8}" name="Micron" dataDxfId="18"/>
    <tableColumn id="5" xr3:uid="{E7E60B92-AF49-4CC8-8113-82A5EF636877}" name="Density" dataDxfId="17">
      <calculatedColumnFormula>VLOOKUP(B25,Material[],2,FALSE)</calculatedColumnFormula>
    </tableColumn>
    <tableColumn id="6" xr3:uid="{94DD0504-F221-405D-81CF-F0738ECA1FCC}" name="Total GSM" dataDxfId="16">
      <calculatedColumnFormula>IF(A25="Substrate",D25*E25,C25*D25)</calculatedColumnFormula>
    </tableColumn>
    <tableColumn id="7" xr3:uid="{2CA9B622-3087-468C-989B-788B5B5FA003}" name="Cost Per Kg" dataDxfId="15">
      <calculatedColumnFormula>VLOOKUP(B25,Material[],4,FALSE)</calculatedColumnFormula>
    </tableColumn>
    <tableColumn id="8" xr3:uid="{86908396-9795-4DE3-9FF0-383162A826B5}" name="Waste_x000a_%" dataDxfId="14" dataCellStyle="Percent"/>
    <tableColumn id="9" xr3:uid="{E189D7D2-A0B2-4FE3-8D31-A34B3D925414}" name="Cost / M²" dataDxfId="13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2">
      <calculatedColumnFormula>IF(A25="Substrate",(($I$36*F25)/$B$37)*(1+H25),(($I$36*D25)/$B$37)*(1+H25))</calculatedColumnFormula>
    </tableColumn>
    <tableColumn id="11" xr3:uid="{380643C8-6CF2-44AE-9796-D6CDAFCFF6FC}" name="Layer %" dataDxfId="11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323" customWidth="1"/>
    <col min="2" max="2" width="28.77734375" style="323" bestFit="1" customWidth="1"/>
    <col min="3" max="3" width="16.5546875" style="323" customWidth="1"/>
    <col min="4" max="4" width="30" style="323" customWidth="1"/>
    <col min="5" max="5" width="12" style="323" customWidth="1"/>
    <col min="6" max="6" width="16.44140625" style="323" customWidth="1"/>
    <col min="7" max="16384" width="8.6640625" style="323"/>
  </cols>
  <sheetData>
    <row r="1" spans="1:6" x14ac:dyDescent="0.3">
      <c r="A1" s="338" t="s">
        <v>250</v>
      </c>
      <c r="B1" s="339" t="s">
        <v>251</v>
      </c>
      <c r="C1" s="339" t="s">
        <v>252</v>
      </c>
      <c r="D1" s="339" t="s">
        <v>281</v>
      </c>
      <c r="E1" s="339" t="s">
        <v>323</v>
      </c>
      <c r="F1" s="340" t="s">
        <v>324</v>
      </c>
    </row>
    <row r="2" spans="1:6" x14ac:dyDescent="0.3">
      <c r="A2" s="336" t="s">
        <v>253</v>
      </c>
      <c r="B2" s="334" t="s">
        <v>115</v>
      </c>
      <c r="C2" s="345">
        <v>0.91</v>
      </c>
      <c r="D2" s="334" t="str">
        <f>B2</f>
        <v>BOPP Transparent</v>
      </c>
      <c r="E2" s="335"/>
      <c r="F2" s="337"/>
    </row>
    <row r="3" spans="1:6" x14ac:dyDescent="0.3">
      <c r="A3" s="336" t="s">
        <v>253</v>
      </c>
      <c r="B3" s="334" t="s">
        <v>242</v>
      </c>
      <c r="C3" s="345">
        <v>0.91</v>
      </c>
      <c r="D3" s="334" t="s">
        <v>282</v>
      </c>
      <c r="E3" s="335"/>
      <c r="F3" s="337"/>
    </row>
    <row r="4" spans="1:6" x14ac:dyDescent="0.3">
      <c r="A4" s="336" t="s">
        <v>253</v>
      </c>
      <c r="B4" s="334" t="s">
        <v>280</v>
      </c>
      <c r="C4" s="345">
        <v>0.95</v>
      </c>
      <c r="D4" s="334" t="s">
        <v>293</v>
      </c>
      <c r="E4" s="335"/>
      <c r="F4" s="337"/>
    </row>
    <row r="5" spans="1:6" x14ac:dyDescent="0.3">
      <c r="A5" s="336" t="s">
        <v>253</v>
      </c>
      <c r="B5" s="334" t="s">
        <v>20</v>
      </c>
      <c r="C5" s="345">
        <v>0.7</v>
      </c>
      <c r="D5" s="334" t="s">
        <v>283</v>
      </c>
      <c r="E5" s="335"/>
      <c r="F5" s="337"/>
    </row>
    <row r="6" spans="1:6" x14ac:dyDescent="0.3">
      <c r="A6" s="336" t="s">
        <v>253</v>
      </c>
      <c r="B6" s="334" t="s">
        <v>116</v>
      </c>
      <c r="C6" s="345">
        <v>0.91</v>
      </c>
      <c r="D6" s="334" t="s">
        <v>284</v>
      </c>
      <c r="E6" s="335"/>
      <c r="F6" s="337"/>
    </row>
    <row r="7" spans="1:6" x14ac:dyDescent="0.3">
      <c r="A7" s="336" t="s">
        <v>253</v>
      </c>
      <c r="B7" s="334" t="s">
        <v>243</v>
      </c>
      <c r="C7" s="345">
        <v>0.91</v>
      </c>
      <c r="D7" s="334" t="s">
        <v>256</v>
      </c>
      <c r="E7" s="335"/>
      <c r="F7" s="337"/>
    </row>
    <row r="8" spans="1:6" x14ac:dyDescent="0.3">
      <c r="A8" s="336" t="s">
        <v>253</v>
      </c>
      <c r="B8" s="334" t="s">
        <v>255</v>
      </c>
      <c r="C8" s="345">
        <v>0.91</v>
      </c>
      <c r="D8" s="334" t="s">
        <v>285</v>
      </c>
      <c r="E8" s="335"/>
      <c r="F8" s="337"/>
    </row>
    <row r="9" spans="1:6" x14ac:dyDescent="0.3">
      <c r="A9" s="336" t="s">
        <v>253</v>
      </c>
      <c r="B9" s="334" t="s">
        <v>245</v>
      </c>
      <c r="C9" s="345">
        <v>0.62</v>
      </c>
      <c r="D9" s="334" t="s">
        <v>286</v>
      </c>
      <c r="E9" s="335"/>
      <c r="F9" s="337"/>
    </row>
    <row r="10" spans="1:6" x14ac:dyDescent="0.3">
      <c r="A10" s="336" t="s">
        <v>253</v>
      </c>
      <c r="B10" s="334" t="s">
        <v>257</v>
      </c>
      <c r="C10" s="345">
        <v>0.91</v>
      </c>
      <c r="D10" s="334" t="s">
        <v>287</v>
      </c>
      <c r="E10" s="335"/>
      <c r="F10" s="337"/>
    </row>
    <row r="11" spans="1:6" x14ac:dyDescent="0.3">
      <c r="A11" s="336" t="s">
        <v>258</v>
      </c>
      <c r="B11" s="334" t="s">
        <v>121</v>
      </c>
      <c r="C11" s="345">
        <v>1.4</v>
      </c>
      <c r="D11" s="334" t="s">
        <v>288</v>
      </c>
      <c r="E11" s="335"/>
      <c r="F11" s="337"/>
    </row>
    <row r="12" spans="1:6" x14ac:dyDescent="0.3">
      <c r="A12" s="336" t="s">
        <v>258</v>
      </c>
      <c r="B12" s="334" t="s">
        <v>289</v>
      </c>
      <c r="C12" s="345">
        <v>1.4</v>
      </c>
      <c r="D12" s="334" t="s">
        <v>290</v>
      </c>
      <c r="E12" s="335"/>
      <c r="F12" s="337"/>
    </row>
    <row r="13" spans="1:6" x14ac:dyDescent="0.3">
      <c r="A13" s="336" t="s">
        <v>258</v>
      </c>
      <c r="B13" s="334" t="s">
        <v>122</v>
      </c>
      <c r="C13" s="345">
        <v>1.4</v>
      </c>
      <c r="D13" s="334" t="s">
        <v>291</v>
      </c>
      <c r="E13" s="335"/>
      <c r="F13" s="337"/>
    </row>
    <row r="14" spans="1:6" x14ac:dyDescent="0.3">
      <c r="A14" s="336" t="s">
        <v>258</v>
      </c>
      <c r="B14" s="334" t="s">
        <v>292</v>
      </c>
      <c r="C14" s="345">
        <v>1.4</v>
      </c>
      <c r="D14" s="334" t="s">
        <v>256</v>
      </c>
      <c r="E14" s="335"/>
      <c r="F14" s="337"/>
    </row>
    <row r="15" spans="1:6" x14ac:dyDescent="0.3">
      <c r="A15" s="336" t="s">
        <v>258</v>
      </c>
      <c r="B15" s="334" t="s">
        <v>259</v>
      </c>
      <c r="C15" s="345">
        <v>1.4</v>
      </c>
      <c r="D15" s="334" t="s">
        <v>293</v>
      </c>
      <c r="E15" s="335"/>
      <c r="F15" s="337"/>
    </row>
    <row r="16" spans="1:6" x14ac:dyDescent="0.3">
      <c r="A16" s="336" t="s">
        <v>258</v>
      </c>
      <c r="B16" s="334" t="s">
        <v>260</v>
      </c>
      <c r="C16" s="345">
        <v>1.4</v>
      </c>
      <c r="D16" s="334" t="s">
        <v>287</v>
      </c>
      <c r="E16" s="335"/>
      <c r="F16" s="337"/>
    </row>
    <row r="17" spans="1:6" x14ac:dyDescent="0.3">
      <c r="A17" s="336" t="s">
        <v>258</v>
      </c>
      <c r="B17" s="334" t="s">
        <v>295</v>
      </c>
      <c r="C17" s="345">
        <v>1.4</v>
      </c>
      <c r="D17" s="334" t="s">
        <v>294</v>
      </c>
      <c r="E17" s="335"/>
      <c r="F17" s="337"/>
    </row>
    <row r="18" spans="1:6" x14ac:dyDescent="0.3">
      <c r="A18" s="336" t="s">
        <v>258</v>
      </c>
      <c r="B18" s="334" t="s">
        <v>295</v>
      </c>
      <c r="C18" s="345">
        <v>1.4</v>
      </c>
      <c r="D18" s="334" t="s">
        <v>296</v>
      </c>
      <c r="E18" s="335"/>
      <c r="F18" s="337"/>
    </row>
    <row r="19" spans="1:6" x14ac:dyDescent="0.3">
      <c r="A19" s="336" t="s">
        <v>261</v>
      </c>
      <c r="B19" s="334" t="s">
        <v>228</v>
      </c>
      <c r="C19" s="345">
        <v>0.92</v>
      </c>
      <c r="D19" s="334" t="s">
        <v>297</v>
      </c>
      <c r="E19" s="335"/>
      <c r="F19" s="337"/>
    </row>
    <row r="20" spans="1:6" x14ac:dyDescent="0.3">
      <c r="A20" s="336" t="s">
        <v>261</v>
      </c>
      <c r="B20" s="334" t="s">
        <v>120</v>
      </c>
      <c r="C20" s="345">
        <v>0.93</v>
      </c>
      <c r="D20" s="334" t="s">
        <v>297</v>
      </c>
      <c r="E20" s="335"/>
      <c r="F20" s="337"/>
    </row>
    <row r="21" spans="1:6" x14ac:dyDescent="0.3">
      <c r="A21" s="336" t="s">
        <v>261</v>
      </c>
      <c r="B21" s="334" t="s">
        <v>262</v>
      </c>
      <c r="C21" s="345">
        <v>0.95</v>
      </c>
      <c r="D21" s="334" t="s">
        <v>254</v>
      </c>
      <c r="E21" s="335"/>
      <c r="F21" s="337"/>
    </row>
    <row r="22" spans="1:6" x14ac:dyDescent="0.3">
      <c r="A22" s="336" t="s">
        <v>261</v>
      </c>
      <c r="B22" s="334" t="s">
        <v>263</v>
      </c>
      <c r="C22" s="345">
        <v>0.92</v>
      </c>
      <c r="D22" s="334" t="s">
        <v>298</v>
      </c>
      <c r="E22" s="335"/>
      <c r="F22" s="337"/>
    </row>
    <row r="23" spans="1:6" x14ac:dyDescent="0.3">
      <c r="A23" s="336" t="s">
        <v>261</v>
      </c>
      <c r="B23" s="334" t="s">
        <v>309</v>
      </c>
      <c r="C23" s="345">
        <v>0.92</v>
      </c>
      <c r="D23" s="334" t="s">
        <v>310</v>
      </c>
      <c r="E23" s="335"/>
      <c r="F23" s="337"/>
    </row>
    <row r="24" spans="1:6" x14ac:dyDescent="0.3">
      <c r="A24" s="336" t="s">
        <v>264</v>
      </c>
      <c r="B24" s="334" t="s">
        <v>118</v>
      </c>
      <c r="C24" s="345">
        <v>0.9</v>
      </c>
      <c r="D24" s="334" t="s">
        <v>291</v>
      </c>
      <c r="E24" s="335"/>
      <c r="F24" s="337"/>
    </row>
    <row r="25" spans="1:6" x14ac:dyDescent="0.3">
      <c r="A25" s="336" t="s">
        <v>264</v>
      </c>
      <c r="B25" s="334" t="s">
        <v>117</v>
      </c>
      <c r="C25" s="345">
        <v>0.9</v>
      </c>
      <c r="D25" s="334" t="s">
        <v>291</v>
      </c>
      <c r="E25" s="335"/>
      <c r="F25" s="337"/>
    </row>
    <row r="26" spans="1:6" x14ac:dyDescent="0.3">
      <c r="A26" s="336" t="s">
        <v>264</v>
      </c>
      <c r="B26" s="334" t="s">
        <v>265</v>
      </c>
      <c r="C26" s="345">
        <v>0.92</v>
      </c>
      <c r="D26" s="334" t="s">
        <v>291</v>
      </c>
      <c r="E26" s="335"/>
      <c r="F26" s="337"/>
    </row>
    <row r="27" spans="1:6" x14ac:dyDescent="0.3">
      <c r="A27" s="336" t="s">
        <v>264</v>
      </c>
      <c r="B27" s="334" t="s">
        <v>266</v>
      </c>
      <c r="C27" s="345">
        <v>0.9</v>
      </c>
      <c r="D27" s="334" t="s">
        <v>299</v>
      </c>
      <c r="E27" s="335"/>
      <c r="F27" s="337"/>
    </row>
    <row r="28" spans="1:6" x14ac:dyDescent="0.3">
      <c r="A28" s="336" t="s">
        <v>264</v>
      </c>
      <c r="B28" s="334" t="s">
        <v>267</v>
      </c>
      <c r="C28" s="345">
        <v>0.9</v>
      </c>
      <c r="D28" s="334" t="s">
        <v>254</v>
      </c>
      <c r="E28" s="335"/>
      <c r="F28" s="337"/>
    </row>
    <row r="29" spans="1:6" x14ac:dyDescent="0.3">
      <c r="A29" s="336" t="s">
        <v>268</v>
      </c>
      <c r="B29" s="334" t="s">
        <v>114</v>
      </c>
      <c r="C29" s="345">
        <v>1.1499999999999999</v>
      </c>
      <c r="D29" s="334" t="s">
        <v>291</v>
      </c>
      <c r="E29" s="335"/>
      <c r="F29" s="337"/>
    </row>
    <row r="30" spans="1:6" x14ac:dyDescent="0.3">
      <c r="A30" s="336" t="s">
        <v>268</v>
      </c>
      <c r="B30" s="334" t="s">
        <v>300</v>
      </c>
      <c r="C30" s="345">
        <v>1.1499999999999999</v>
      </c>
      <c r="D30" s="334" t="s">
        <v>254</v>
      </c>
      <c r="E30" s="335"/>
      <c r="F30" s="337"/>
    </row>
    <row r="31" spans="1:6" x14ac:dyDescent="0.3">
      <c r="A31" s="336" t="s">
        <v>268</v>
      </c>
      <c r="B31" s="334" t="s">
        <v>301</v>
      </c>
      <c r="C31" s="345">
        <v>1.06</v>
      </c>
      <c r="D31" s="334" t="s">
        <v>302</v>
      </c>
      <c r="E31" s="335"/>
      <c r="F31" s="337"/>
    </row>
    <row r="32" spans="1:6" x14ac:dyDescent="0.3">
      <c r="A32" s="336" t="s">
        <v>269</v>
      </c>
      <c r="B32" s="334" t="s">
        <v>124</v>
      </c>
      <c r="C32" s="345">
        <v>2.7</v>
      </c>
      <c r="D32" s="334" t="s">
        <v>303</v>
      </c>
      <c r="E32" s="335"/>
      <c r="F32" s="337"/>
    </row>
    <row r="33" spans="1:6" x14ac:dyDescent="0.3">
      <c r="A33" s="336" t="s">
        <v>270</v>
      </c>
      <c r="B33" s="334" t="s">
        <v>241</v>
      </c>
      <c r="C33" s="345">
        <v>0.95</v>
      </c>
      <c r="D33" s="334" t="s">
        <v>271</v>
      </c>
      <c r="E33" s="335"/>
      <c r="F33" s="337"/>
    </row>
    <row r="34" spans="1:6" x14ac:dyDescent="0.3">
      <c r="A34" s="336" t="s">
        <v>270</v>
      </c>
      <c r="B34" s="334" t="s">
        <v>272</v>
      </c>
      <c r="C34" s="345">
        <v>0.78</v>
      </c>
      <c r="D34" s="334" t="s">
        <v>271</v>
      </c>
      <c r="E34" s="335"/>
      <c r="F34" s="337"/>
    </row>
    <row r="35" spans="1:6" x14ac:dyDescent="0.3">
      <c r="A35" s="336" t="s">
        <v>270</v>
      </c>
      <c r="B35" s="334" t="s">
        <v>273</v>
      </c>
      <c r="C35" s="345">
        <v>0.82</v>
      </c>
      <c r="D35" s="334" t="s">
        <v>271</v>
      </c>
      <c r="E35" s="335"/>
      <c r="F35" s="337"/>
    </row>
    <row r="36" spans="1:6" x14ac:dyDescent="0.3">
      <c r="A36" s="336" t="s">
        <v>270</v>
      </c>
      <c r="B36" s="334" t="s">
        <v>274</v>
      </c>
      <c r="C36" s="345">
        <v>0.95</v>
      </c>
      <c r="D36" s="334" t="s">
        <v>271</v>
      </c>
      <c r="E36" s="335"/>
      <c r="F36" s="337"/>
    </row>
    <row r="37" spans="1:6" x14ac:dyDescent="0.3">
      <c r="A37" s="336" t="s">
        <v>270</v>
      </c>
      <c r="B37" s="334" t="s">
        <v>275</v>
      </c>
      <c r="C37" s="345">
        <v>1.05</v>
      </c>
      <c r="D37" s="334" t="s">
        <v>271</v>
      </c>
      <c r="E37" s="335"/>
      <c r="F37" s="337"/>
    </row>
    <row r="38" spans="1:6" x14ac:dyDescent="0.3">
      <c r="A38" s="336" t="s">
        <v>270</v>
      </c>
      <c r="B38" s="334" t="s">
        <v>276</v>
      </c>
      <c r="C38" s="345">
        <v>0.95</v>
      </c>
      <c r="D38" s="334" t="s">
        <v>271</v>
      </c>
      <c r="E38" s="335"/>
      <c r="F38" s="337"/>
    </row>
    <row r="39" spans="1:6" x14ac:dyDescent="0.3">
      <c r="A39" s="336" t="s">
        <v>270</v>
      </c>
      <c r="B39" s="334" t="s">
        <v>277</v>
      </c>
      <c r="C39" s="345">
        <v>1</v>
      </c>
      <c r="D39" s="334" t="s">
        <v>271</v>
      </c>
      <c r="E39" s="335"/>
      <c r="F39" s="337"/>
    </row>
    <row r="40" spans="1:6" x14ac:dyDescent="0.3">
      <c r="A40" s="336" t="s">
        <v>279</v>
      </c>
      <c r="B40" s="334" t="s">
        <v>23</v>
      </c>
      <c r="C40" s="345">
        <v>1.35</v>
      </c>
      <c r="D40" s="334" t="s">
        <v>305</v>
      </c>
      <c r="E40" s="335"/>
      <c r="F40" s="337"/>
    </row>
    <row r="41" spans="1:6" x14ac:dyDescent="0.3">
      <c r="A41" s="336" t="s">
        <v>279</v>
      </c>
      <c r="B41" s="334" t="s">
        <v>23</v>
      </c>
      <c r="C41" s="345">
        <v>1.35</v>
      </c>
      <c r="D41" s="334" t="s">
        <v>304</v>
      </c>
      <c r="E41" s="335"/>
      <c r="F41" s="337"/>
    </row>
    <row r="42" spans="1:6" x14ac:dyDescent="0.3">
      <c r="A42" s="336" t="s">
        <v>279</v>
      </c>
      <c r="B42" s="334" t="s">
        <v>22</v>
      </c>
      <c r="C42" s="345">
        <v>1.32</v>
      </c>
      <c r="D42" s="334" t="s">
        <v>306</v>
      </c>
      <c r="E42" s="335"/>
      <c r="F42" s="337"/>
    </row>
    <row r="43" spans="1:6" x14ac:dyDescent="0.3">
      <c r="A43" s="336" t="s">
        <v>279</v>
      </c>
      <c r="B43" s="334" t="s">
        <v>307</v>
      </c>
      <c r="C43" s="345">
        <v>1.32</v>
      </c>
      <c r="D43" s="334" t="s">
        <v>308</v>
      </c>
      <c r="E43" s="335"/>
      <c r="F43" s="337"/>
    </row>
    <row r="44" spans="1:6" x14ac:dyDescent="0.3">
      <c r="A44" s="336" t="s">
        <v>278</v>
      </c>
      <c r="B44" s="334" t="s">
        <v>246</v>
      </c>
      <c r="C44" s="345">
        <v>1.24</v>
      </c>
      <c r="D44" s="334" t="s">
        <v>322</v>
      </c>
      <c r="E44" s="335"/>
      <c r="F44" s="337"/>
    </row>
    <row r="45" spans="1:6" x14ac:dyDescent="0.3">
      <c r="A45" s="336" t="s">
        <v>278</v>
      </c>
      <c r="B45" s="334" t="s">
        <v>247</v>
      </c>
      <c r="C45" s="345">
        <v>1.21</v>
      </c>
      <c r="D45" s="334" t="s">
        <v>321</v>
      </c>
      <c r="E45" s="335"/>
      <c r="F45" s="337"/>
    </row>
    <row r="46" spans="1:6" x14ac:dyDescent="0.3">
      <c r="A46" s="341" t="s">
        <v>278</v>
      </c>
      <c r="B46" s="342" t="s">
        <v>311</v>
      </c>
      <c r="C46" s="346">
        <v>1.1299999999999999</v>
      </c>
      <c r="D46" s="342" t="s">
        <v>321</v>
      </c>
      <c r="E46" s="343"/>
      <c r="F46" s="34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324" t="s">
        <v>319</v>
      </c>
      <c r="E4" s="325"/>
      <c r="F4" s="325"/>
      <c r="G4" s="325"/>
    </row>
    <row r="5" spans="4:11" ht="15" x14ac:dyDescent="0.3">
      <c r="D5" s="326" t="s">
        <v>312</v>
      </c>
      <c r="E5" s="327" t="s">
        <v>313</v>
      </c>
      <c r="F5" s="327" t="s">
        <v>314</v>
      </c>
      <c r="G5" s="327" t="s">
        <v>315</v>
      </c>
    </row>
    <row r="6" spans="4:11" ht="15" x14ac:dyDescent="0.3">
      <c r="D6" s="328" t="s">
        <v>316</v>
      </c>
      <c r="E6" s="329">
        <v>7</v>
      </c>
      <c r="F6" s="329">
        <v>18.899999999999999</v>
      </c>
      <c r="G6" s="329">
        <v>2.7</v>
      </c>
      <c r="H6">
        <f>E6*G6</f>
        <v>18.900000000000002</v>
      </c>
      <c r="K6" s="333">
        <f>H6/$H$9</f>
        <v>0.21202602647520757</v>
      </c>
    </row>
    <row r="7" spans="4:11" ht="15" x14ac:dyDescent="0.3">
      <c r="D7" s="328" t="s">
        <v>261</v>
      </c>
      <c r="E7" s="329">
        <v>22</v>
      </c>
      <c r="F7" s="329">
        <v>9.1999999999999993</v>
      </c>
      <c r="G7" s="329">
        <v>0.92</v>
      </c>
      <c r="H7">
        <f t="shared" ref="H7:H8" si="0">E7*G7</f>
        <v>20.240000000000002</v>
      </c>
      <c r="K7" s="333">
        <f t="shared" ref="K7:K8" si="1">H7/$H$9</f>
        <v>0.22705855956921697</v>
      </c>
    </row>
    <row r="8" spans="4:11" ht="15" x14ac:dyDescent="0.3">
      <c r="D8" s="328" t="s">
        <v>275</v>
      </c>
      <c r="E8" s="329">
        <v>50</v>
      </c>
      <c r="F8" s="329">
        <v>30</v>
      </c>
      <c r="G8" s="329">
        <v>1</v>
      </c>
      <c r="H8">
        <f t="shared" si="0"/>
        <v>50</v>
      </c>
      <c r="K8" s="333">
        <f t="shared" si="1"/>
        <v>0.56091541395557554</v>
      </c>
    </row>
    <row r="9" spans="4:11" ht="15" x14ac:dyDescent="0.3">
      <c r="D9" s="330" t="s">
        <v>317</v>
      </c>
      <c r="E9" s="331">
        <f>SUM(E6:E8)</f>
        <v>79</v>
      </c>
      <c r="F9" s="331">
        <v>58.1</v>
      </c>
      <c r="G9" s="33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332" t="s">
        <v>318</v>
      </c>
      <c r="E10" s="325"/>
      <c r="F10" s="325"/>
      <c r="G10" s="32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17" zoomScaleNormal="100" workbookViewId="0">
      <selection activeCell="B37" sqref="B37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64" t="s">
        <v>153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65" t="s">
        <v>50</v>
      </c>
      <c r="B3" s="265"/>
      <c r="C3" s="266" t="s">
        <v>130</v>
      </c>
      <c r="D3" s="266"/>
      <c r="E3" s="266"/>
      <c r="F3" s="9"/>
      <c r="G3" s="265" t="s">
        <v>56</v>
      </c>
      <c r="H3" s="265"/>
      <c r="I3" s="266" t="s">
        <v>129</v>
      </c>
      <c r="J3" s="266"/>
      <c r="K3" s="266"/>
      <c r="L3" s="266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65" t="s">
        <v>51</v>
      </c>
      <c r="B5" s="265"/>
      <c r="C5" s="273" t="s">
        <v>0</v>
      </c>
      <c r="D5" s="273"/>
      <c r="E5" s="273"/>
      <c r="F5" s="9"/>
      <c r="G5" s="265" t="s">
        <v>53</v>
      </c>
      <c r="H5" s="265"/>
      <c r="I5" s="274">
        <v>10000</v>
      </c>
      <c r="J5" s="274"/>
      <c r="K5" s="273" t="s">
        <v>2</v>
      </c>
      <c r="L5" s="273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75" t="s">
        <v>54</v>
      </c>
      <c r="B9" s="275"/>
      <c r="C9" s="275"/>
      <c r="O9" s="20"/>
      <c r="P9" s="20"/>
    </row>
    <row r="10" spans="1:18" ht="15.6" x14ac:dyDescent="0.3">
      <c r="A10" s="275" t="s">
        <v>55</v>
      </c>
      <c r="B10" s="275"/>
      <c r="C10" s="275"/>
      <c r="N10" s="20"/>
      <c r="O10" s="259"/>
      <c r="P10" s="259"/>
      <c r="Q10" s="44"/>
    </row>
    <row r="11" spans="1:18" ht="15" thickBot="1" x14ac:dyDescent="0.35"/>
    <row r="12" spans="1:18" ht="15" thickBot="1" x14ac:dyDescent="0.35">
      <c r="A12" s="260" t="s">
        <v>67</v>
      </c>
      <c r="B12" s="261"/>
      <c r="C12" s="262"/>
      <c r="E12" s="2"/>
      <c r="F12" s="2"/>
      <c r="G12" s="2"/>
      <c r="I12" s="263"/>
      <c r="J12" s="263"/>
      <c r="K12" s="263"/>
      <c r="M12" s="263"/>
      <c r="N12" s="263"/>
    </row>
    <row r="13" spans="1:18" x14ac:dyDescent="0.3">
      <c r="A13" s="277" t="s">
        <v>8</v>
      </c>
      <c r="B13" s="278"/>
      <c r="C13" s="135">
        <v>250</v>
      </c>
      <c r="E13" s="256"/>
      <c r="F13" s="256"/>
      <c r="G13" s="21"/>
      <c r="I13" s="256"/>
      <c r="J13" s="256"/>
      <c r="K13" s="21"/>
    </row>
    <row r="14" spans="1:18" x14ac:dyDescent="0.3">
      <c r="A14" s="254" t="s">
        <v>9</v>
      </c>
      <c r="B14" s="255"/>
      <c r="C14" s="30">
        <v>100</v>
      </c>
      <c r="E14" s="256"/>
      <c r="F14" s="256"/>
      <c r="G14" s="21"/>
      <c r="I14" s="256"/>
      <c r="J14" s="256"/>
      <c r="K14" s="21"/>
      <c r="M14" s="256"/>
      <c r="N14" s="256"/>
      <c r="O14" s="21"/>
      <c r="Q14" s="21"/>
    </row>
    <row r="15" spans="1:18" x14ac:dyDescent="0.3">
      <c r="A15" s="254" t="s">
        <v>6</v>
      </c>
      <c r="B15" s="255"/>
      <c r="C15" s="31">
        <v>20</v>
      </c>
      <c r="E15" s="256"/>
      <c r="F15" s="256"/>
      <c r="G15" s="21"/>
      <c r="I15" s="4"/>
      <c r="J15" s="4"/>
      <c r="K15" s="131"/>
      <c r="M15" s="256"/>
      <c r="N15" s="256"/>
      <c r="O15" s="21"/>
      <c r="Q15" s="21"/>
    </row>
    <row r="16" spans="1:18" x14ac:dyDescent="0.3">
      <c r="A16" s="254" t="s">
        <v>10</v>
      </c>
      <c r="B16" s="255"/>
      <c r="C16" s="136">
        <v>1</v>
      </c>
      <c r="E16" s="4"/>
      <c r="F16" s="4"/>
      <c r="G16" s="131"/>
      <c r="I16" s="256"/>
      <c r="J16" s="256"/>
      <c r="K16" s="6"/>
      <c r="M16" s="256"/>
      <c r="N16" s="256"/>
    </row>
    <row r="17" spans="1:14" ht="15" thickBot="1" x14ac:dyDescent="0.35">
      <c r="A17" s="257" t="s">
        <v>7</v>
      </c>
      <c r="B17" s="258"/>
      <c r="C17" s="32">
        <v>4</v>
      </c>
      <c r="E17" s="256"/>
      <c r="F17" s="256"/>
      <c r="G17" s="6"/>
      <c r="M17" s="256"/>
      <c r="N17" s="256"/>
    </row>
    <row r="18" spans="1:14" x14ac:dyDescent="0.3">
      <c r="M18" s="256"/>
      <c r="N18" s="256"/>
    </row>
    <row r="19" spans="1:14" x14ac:dyDescent="0.3">
      <c r="M19" s="276"/>
      <c r="N19" s="276"/>
    </row>
    <row r="20" spans="1:14" x14ac:dyDescent="0.3">
      <c r="M20" s="276"/>
      <c r="N20" s="276"/>
    </row>
    <row r="21" spans="1:14" x14ac:dyDescent="0.3">
      <c r="C21" s="250"/>
      <c r="D21" s="53"/>
      <c r="E21" s="250"/>
      <c r="F21" s="250"/>
      <c r="G21" s="250"/>
      <c r="H21" s="250"/>
    </row>
    <row r="22" spans="1:14" x14ac:dyDescent="0.3">
      <c r="C22" s="250"/>
      <c r="D22" s="53"/>
      <c r="E22" s="250"/>
      <c r="F22" s="250"/>
      <c r="G22" s="250"/>
      <c r="H22" s="250"/>
    </row>
    <row r="23" spans="1:14" ht="15" thickBot="1" x14ac:dyDescent="0.35">
      <c r="C23" s="251"/>
      <c r="D23" s="53"/>
      <c r="E23" s="251"/>
      <c r="F23" s="251"/>
      <c r="G23" s="251"/>
      <c r="H23" s="251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1609.7560975609756</v>
      </c>
      <c r="K25" s="180">
        <f>table17[[#This Row],[Total GSM]]/$B$37</f>
        <v>0.14634146341463414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 t="shared" ref="F26:F28" si="0"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(IF(A26="Substrate",(F26*G26)/1000,(D26*G26)/1000))*(1+table17[[#This Row],[Waste
%]])</f>
        <v>3.9600000000000003E-2</v>
      </c>
      <c r="J26" s="179">
        <f>IF(A26="Substrate",(($I$36*F26)/$B$37)*(1+H26),(($I$36*D26)/$B$37)*(1+H26))</f>
        <v>766.55052264808376</v>
      </c>
      <c r="K26" s="180">
        <f>table17[[#This Row],[Total GSM]]/$B$37</f>
        <v>1.7421602787456445E-2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0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574.91289198606285</v>
      </c>
      <c r="K27" s="180">
        <f>table17[[#This Row],[Total GSM]]/$B$37</f>
        <v>2.6132404181184669E-2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8911.1498257839721</v>
      </c>
      <c r="K28" s="180">
        <f>table17[[#This Row],[Total GSM]]/$B$37</f>
        <v>0.81010452961672474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52" t="s">
        <v>38</v>
      </c>
      <c r="B31" s="253"/>
      <c r="C31" s="253"/>
      <c r="D31" s="253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5.0000000000000001E-3</v>
      </c>
      <c r="J31" s="125">
        <f>(SUMIFS(table17[Est.
Required Kgs],table17[Type], "Ink") + SUMIFS(table17[Est.
Required Kgs],table17[Material], "Solvent Base"))*$F$31</f>
        <v>2012.1951219512198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0.98119658119658115</v>
      </c>
      <c r="C35" s="232" t="s">
        <v>66</v>
      </c>
      <c r="D35" s="232"/>
      <c r="E35" s="134">
        <f>IF(C5="Roll", (1000/(C13*C14*B37*0.001*0.001))*C16, IF(C5="Sleeve", (1000/(G14*G15*B37*0.001*0.001))*1, IF(C5="Bag or Pouch", (1000/(K14*K13*B37*0.001*0.001))*1, "")))</f>
        <v>348.43205574912889</v>
      </c>
      <c r="F35" s="232" t="s">
        <v>65</v>
      </c>
      <c r="G35" s="232"/>
      <c r="H35" s="232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</v>
      </c>
      <c r="C36" s="232" t="s">
        <v>59</v>
      </c>
      <c r="D36" s="232"/>
      <c r="E36" s="15">
        <f>1000/E35</f>
        <v>2.87</v>
      </c>
      <c r="F36" s="232" t="s">
        <v>88</v>
      </c>
      <c r="G36" s="232"/>
      <c r="H36" s="232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114.8</v>
      </c>
      <c r="C37" s="232" t="s">
        <v>60</v>
      </c>
      <c r="D37" s="232"/>
      <c r="E37" s="15">
        <f>1000/B37</f>
        <v>8.7108013937282234</v>
      </c>
      <c r="F37" s="232" t="s">
        <v>89</v>
      </c>
      <c r="G37" s="232"/>
      <c r="H37" s="232"/>
      <c r="I37" s="38">
        <f>(I36*1000)/E36/1000</f>
        <v>3484.320557491289</v>
      </c>
    </row>
    <row r="38" spans="1:13" x14ac:dyDescent="0.3">
      <c r="A38" s="2" t="s">
        <v>83</v>
      </c>
      <c r="B38" s="16">
        <f>SUM(I25:I30)+I31</f>
        <v>0.22230500000000003</v>
      </c>
      <c r="C38" s="232" t="s">
        <v>86</v>
      </c>
      <c r="D38" s="232"/>
      <c r="E38" s="15">
        <f>(E37/I35)*1000</f>
        <v>8.5400013664002188</v>
      </c>
      <c r="F38" s="232" t="s">
        <v>135</v>
      </c>
      <c r="G38" s="232"/>
      <c r="H38" s="232"/>
      <c r="I38" s="38">
        <f>I36*E38</f>
        <v>85400.013664002181</v>
      </c>
    </row>
    <row r="39" spans="1:13" x14ac:dyDescent="0.3">
      <c r="C39" s="232" t="s">
        <v>151</v>
      </c>
      <c r="D39" s="232"/>
      <c r="E39" s="15">
        <f>IF(C5="Roll", ((E37/C13)*1000), IF(C5="Sleeve", ((E37/G14)*1000), IF(C5="Bag or Pouch", ((E37/K13)*1000), "")))</f>
        <v>34.843205574912893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33" t="s">
        <v>92</v>
      </c>
      <c r="B44" s="234"/>
      <c r="C44" s="235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36" t="s">
        <v>62</v>
      </c>
      <c r="B46" s="236"/>
      <c r="C46" s="23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36" t="s">
        <v>63</v>
      </c>
      <c r="B47" s="236"/>
      <c r="C47" s="236"/>
      <c r="D47" s="127">
        <f>IF(C5="Roll",(((D46/2)^2-(D44/2)^2)*PI()*C13*B35/1000000),IF(C5="Sleeve",(((D46/2)^2-(D44/2)^2)*PI()*G14*B35/1000000),IF(C5="Bag or Pouch",(((D46/2)^2-(D44/2)^2)*PI()*K13*B35/1000000))))</f>
        <v>63.388940688057041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36" t="s">
        <v>48</v>
      </c>
      <c r="B48" s="236"/>
      <c r="C48" s="236"/>
      <c r="D48" s="128">
        <f>IF(C5="Roll",((D47*1000/B35)/((B36/10000)*(C13/10))/100),IF(C5="Sleeve",((D47*1000/B35)/((B36/10000)*(G14/10))/100),IF(C5="Bag or Pouch",((D47*1000/B35)/((B36/10000)*(K13/10))/100))))</f>
        <v>2208.673891569932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36" t="s">
        <v>85</v>
      </c>
      <c r="B49" s="236"/>
      <c r="C49" s="236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36" t="s">
        <v>64</v>
      </c>
      <c r="B50" s="236"/>
      <c r="C50" s="236"/>
      <c r="D50" s="98">
        <f>(D47*E35)</f>
        <v>22086.738915699316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36" t="s">
        <v>93</v>
      </c>
      <c r="B52" s="236"/>
      <c r="C52" s="236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36" t="s">
        <v>49</v>
      </c>
      <c r="B53" s="236"/>
      <c r="C53" s="23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644.26494805034054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13.730214036834246</v>
      </c>
      <c r="F60" s="204">
        <v>300</v>
      </c>
      <c r="G60" s="207">
        <f>IFERROR(F60*E60,"")</f>
        <v>4119.064211050274</v>
      </c>
      <c r="H60" s="229">
        <f>SUMIF($A$60:$A$69,"true",$G$60:$G$69)</f>
        <v>9496.7315381437129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8.6933342442668113</v>
      </c>
      <c r="F61" s="205">
        <v>300</v>
      </c>
      <c r="G61" s="208">
        <f t="shared" ref="G61:G69" si="2">IFERROR(F61*E61,"")</f>
        <v>2608.0002732800435</v>
      </c>
      <c r="H61" s="230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3.3466671221334061</v>
      </c>
      <c r="F62" s="205">
        <v>50</v>
      </c>
      <c r="G62" s="208">
        <f t="shared" si="2"/>
        <v>167.33335610667029</v>
      </c>
      <c r="H62" s="230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8.1166678053335151</v>
      </c>
      <c r="F63" s="205">
        <v>100</v>
      </c>
      <c r="G63" s="208">
        <f t="shared" si="2"/>
        <v>811.66678053335147</v>
      </c>
      <c r="H63" s="230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8.1166678053335151</v>
      </c>
      <c r="F64" s="205">
        <v>100</v>
      </c>
      <c r="G64" s="208">
        <f t="shared" si="2"/>
        <v>811.66678053335147</v>
      </c>
      <c r="H64" s="230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8.1166678053335151</v>
      </c>
      <c r="F65" s="205">
        <v>100</v>
      </c>
      <c r="G65" s="208">
        <f t="shared" si="2"/>
        <v>811.66678053335147</v>
      </c>
      <c r="H65" s="230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3.3466671221334061</v>
      </c>
      <c r="F66" s="205">
        <v>50</v>
      </c>
      <c r="G66" s="208">
        <f t="shared" si="2"/>
        <v>167.33335610667029</v>
      </c>
      <c r="H66" s="230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230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230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231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0.94967315381437134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40"/>
      <c r="C73" s="241" t="s">
        <v>41</v>
      </c>
      <c r="D73" s="80" t="s">
        <v>91</v>
      </c>
      <c r="E73" s="243" t="s">
        <v>42</v>
      </c>
      <c r="F73" s="245" t="s">
        <v>43</v>
      </c>
      <c r="G73" s="245" t="s">
        <v>107</v>
      </c>
      <c r="H73" s="247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40"/>
      <c r="C74" s="242"/>
      <c r="D74" s="181">
        <v>0.3</v>
      </c>
      <c r="E74" s="244"/>
      <c r="F74" s="246"/>
      <c r="G74" s="246"/>
      <c r="H74" s="248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1.9364547038327529</v>
      </c>
      <c r="D75" s="183">
        <f>C75*D74</f>
        <v>0.58093641114982586</v>
      </c>
      <c r="E75" s="184">
        <v>0.1</v>
      </c>
      <c r="F75" s="184">
        <v>0.2</v>
      </c>
      <c r="G75" s="185">
        <f>H70</f>
        <v>0.94967315381437134</v>
      </c>
      <c r="H75" s="186">
        <f>SUM(C75:G75)</f>
        <v>3.7670642687969504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5.5576250000000007</v>
      </c>
      <c r="D76" s="91">
        <f>(D75/$E$35)*1000</f>
        <v>1.6672875000000003</v>
      </c>
      <c r="E76" s="91">
        <f>(E75/$E$35)*1000</f>
        <v>0.28700000000000003</v>
      </c>
      <c r="F76" s="91">
        <f>(F75/$E$35)*1000</f>
        <v>0.57400000000000007</v>
      </c>
      <c r="G76" s="91">
        <f>(G75/$E$35)*1000</f>
        <v>2.7255619514472462</v>
      </c>
      <c r="H76" s="188">
        <f>SUM(C76:G76)</f>
        <v>10.811474451447246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0.22230500000000003</v>
      </c>
      <c r="D77" s="92">
        <f t="shared" ref="D77:G77" si="3">(D75/$E$37)</f>
        <v>6.6691500000000001E-2</v>
      </c>
      <c r="E77" s="92">
        <f t="shared" si="3"/>
        <v>1.1480000000000001E-2</v>
      </c>
      <c r="F77" s="92">
        <f t="shared" si="3"/>
        <v>2.2960000000000001E-2</v>
      </c>
      <c r="G77" s="92">
        <f t="shared" si="3"/>
        <v>0.10902247805788982</v>
      </c>
      <c r="H77" s="189">
        <f>SUM(C77:G77)</f>
        <v>0.43245897805788985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5.5576250000000008E-2</v>
      </c>
      <c r="D78" s="92">
        <f>(D75/$E$39)</f>
        <v>1.6672875E-2</v>
      </c>
      <c r="E78" s="92">
        <f>(E75/$E$39)</f>
        <v>2.8700000000000002E-3</v>
      </c>
      <c r="F78" s="92">
        <f>(F75/$E$39)</f>
        <v>5.7400000000000003E-3</v>
      </c>
      <c r="G78" s="92">
        <f>(G75/$E$39)</f>
        <v>2.7255619514472456E-2</v>
      </c>
      <c r="H78" s="189">
        <f>SUM(C78:G78)</f>
        <v>0.10811474451447246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27.788125000000004</v>
      </c>
      <c r="D79" s="191">
        <f>D78*500</f>
        <v>8.3364375000000006</v>
      </c>
      <c r="E79" s="191">
        <f t="shared" ref="E79:G79" si="4">E78*500</f>
        <v>1.4350000000000001</v>
      </c>
      <c r="F79" s="191">
        <f t="shared" si="4"/>
        <v>2.87</v>
      </c>
      <c r="G79" s="191">
        <f t="shared" si="4"/>
        <v>13.627809757236228</v>
      </c>
      <c r="H79" s="192">
        <f>SUM(C79:G79)</f>
        <v>54.057372257236231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39"/>
      <c r="I82" s="239"/>
      <c r="J82" s="239"/>
      <c r="K82" s="41"/>
      <c r="L82" s="41"/>
      <c r="M82" s="41"/>
      <c r="N82" s="41"/>
    </row>
    <row r="83" spans="1:25" ht="18" x14ac:dyDescent="0.35">
      <c r="A83" s="54"/>
      <c r="B83" s="238" t="s">
        <v>136</v>
      </c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49"/>
      <c r="I88" s="249"/>
      <c r="J88" s="213"/>
      <c r="K88" s="249"/>
      <c r="L88" s="249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0.12829059076559296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</v>
      </c>
      <c r="E92" s="147">
        <f t="shared" ref="E92:E104" si="7">IFERROR(D92*C92,"")</f>
        <v>675</v>
      </c>
      <c r="F92" s="163">
        <f t="shared" ref="F92:F104" si="8">IFERROR(E92/$E$105,"")</f>
        <v>3.395927402618637E-2</v>
      </c>
      <c r="G92" s="10"/>
      <c r="M92" s="41"/>
      <c r="N92" s="41"/>
      <c r="O92" s="41"/>
      <c r="Q92" s="267" t="s">
        <v>159</v>
      </c>
      <c r="R92" s="267"/>
      <c r="S92" s="112">
        <f>H75</f>
        <v>3.7670642687969504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0.10196586464084924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0.58485416378432087</v>
      </c>
      <c r="L94" s="43"/>
      <c r="R94" s="215" t="s">
        <v>45</v>
      </c>
      <c r="S94" s="216" t="s">
        <v>160</v>
      </c>
      <c r="T94" s="271" t="s">
        <v>148</v>
      </c>
      <c r="U94" s="272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2.8861278576471241</v>
      </c>
      <c r="S95" s="211">
        <f>R95/S92</f>
        <v>0.76614776168096488</v>
      </c>
      <c r="T95" s="268">
        <f>R96-R95</f>
        <v>-7.405642907569554E-2</v>
      </c>
      <c r="U95" s="270">
        <f>(R96-R95)/R95</f>
        <v>-2.565944155227725E-2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2.8120714285714286</v>
      </c>
      <c r="S96" s="211">
        <f>R96/S92</f>
        <v>0.74648883796970411</v>
      </c>
      <c r="T96" s="269"/>
      <c r="U96" s="270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0.88093641114982635</v>
      </c>
      <c r="S97" s="218">
        <f>R97/S92</f>
        <v>0.23385223831903515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0.95499284022552189</v>
      </c>
      <c r="S98" s="211">
        <f>R98/S92</f>
        <v>0.25351116203029589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0.15093010678305055</v>
      </c>
    </row>
    <row r="105" spans="1:19" x14ac:dyDescent="0.3">
      <c r="B105" s="41"/>
      <c r="E105" s="141">
        <f>SUM(E91:E104)</f>
        <v>19876.75</v>
      </c>
    </row>
    <row r="106" spans="1:19" x14ac:dyDescent="0.3">
      <c r="B106" s="41"/>
      <c r="D106" s="87" t="s">
        <v>141</v>
      </c>
      <c r="E106" s="140">
        <f>E105/C85</f>
        <v>1.8930238095238094</v>
      </c>
    </row>
    <row r="107" spans="1:19" x14ac:dyDescent="0.3">
      <c r="B107" s="41"/>
      <c r="D107" s="87" t="s">
        <v>142</v>
      </c>
      <c r="E107" s="159">
        <f>(E106-C75)/C75</f>
        <v>-2.2428045553031666E-2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37" t="s">
        <v>145</v>
      </c>
      <c r="C122" s="237"/>
      <c r="D122" s="237"/>
      <c r="E122" s="140">
        <f>E121/C85</f>
        <v>0.919047619047619</v>
      </c>
    </row>
    <row r="123" spans="2:6" x14ac:dyDescent="0.3">
      <c r="B123" s="237" t="s">
        <v>142</v>
      </c>
      <c r="C123" s="237"/>
      <c r="D123" s="237"/>
      <c r="E123" s="159">
        <f>(E122-H70)/H70</f>
        <v>-3.2248500069465565E-2</v>
      </c>
    </row>
  </sheetData>
  <mergeCells count="74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M19:N20"/>
    <mergeCell ref="G21:G23"/>
    <mergeCell ref="H21:H23"/>
    <mergeCell ref="A13:B13"/>
    <mergeCell ref="A1:L1"/>
    <mergeCell ref="A3:B3"/>
    <mergeCell ref="C3:E3"/>
    <mergeCell ref="G3:H3"/>
    <mergeCell ref="I3:L3"/>
    <mergeCell ref="O10:P10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tabSelected="1" workbookViewId="0">
      <selection activeCell="K14" sqref="K14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279" t="s">
        <v>174</v>
      </c>
      <c r="X1" s="279"/>
      <c r="Y1" s="279"/>
      <c r="Z1" s="279"/>
      <c r="AA1" s="279"/>
      <c r="AB1" s="279"/>
      <c r="AC1" s="279"/>
      <c r="AD1" s="279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0.25</v>
      </c>
      <c r="G19" s="103">
        <v>4.5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77734375" bestFit="1" customWidth="1"/>
    <col min="9" max="9" width="23.21875" customWidth="1"/>
    <col min="10" max="10" width="9.21875" bestFit="1" customWidth="1"/>
    <col min="11" max="11" width="7.77734375" bestFit="1" customWidth="1"/>
    <col min="12" max="12" width="7.6640625" bestFit="1" customWidth="1"/>
    <col min="13" max="13" width="9" bestFit="1" customWidth="1"/>
    <col min="14" max="14" width="14" bestFit="1" customWidth="1"/>
    <col min="15" max="15" width="10.21875" bestFit="1" customWidth="1"/>
  </cols>
  <sheetData>
    <row r="1" spans="1:15" ht="27.6" x14ac:dyDescent="0.3">
      <c r="I1" s="313" t="s">
        <v>12</v>
      </c>
      <c r="J1" s="313" t="s">
        <v>11</v>
      </c>
      <c r="K1" s="313" t="s">
        <v>220</v>
      </c>
      <c r="L1" s="313" t="s">
        <v>14</v>
      </c>
      <c r="M1" s="313" t="s">
        <v>221</v>
      </c>
      <c r="N1" s="313" t="s">
        <v>222</v>
      </c>
      <c r="O1" s="313" t="s">
        <v>223</v>
      </c>
    </row>
    <row r="2" spans="1:15" x14ac:dyDescent="0.3">
      <c r="I2" s="314" t="s">
        <v>124</v>
      </c>
      <c r="J2" s="315" t="s">
        <v>224</v>
      </c>
      <c r="K2" s="316">
        <v>100</v>
      </c>
      <c r="L2" s="316">
        <v>2.7</v>
      </c>
      <c r="M2" s="316">
        <v>5</v>
      </c>
      <c r="N2" s="317" t="s">
        <v>225</v>
      </c>
      <c r="O2" s="318" t="s">
        <v>226</v>
      </c>
    </row>
    <row r="3" spans="1:15" x14ac:dyDescent="0.3">
      <c r="I3" s="314" t="s">
        <v>116</v>
      </c>
      <c r="J3" s="315" t="s">
        <v>224</v>
      </c>
      <c r="K3" s="316">
        <v>100</v>
      </c>
      <c r="L3" s="316">
        <v>0.91</v>
      </c>
      <c r="M3" s="316">
        <v>5</v>
      </c>
      <c r="N3" s="317" t="s">
        <v>225</v>
      </c>
      <c r="O3" s="318" t="s">
        <v>226</v>
      </c>
    </row>
    <row r="4" spans="1:15" x14ac:dyDescent="0.3">
      <c r="I4" s="314" t="s">
        <v>115</v>
      </c>
      <c r="J4" s="315" t="s">
        <v>224</v>
      </c>
      <c r="K4" s="316">
        <v>100</v>
      </c>
      <c r="L4" s="316">
        <v>0.91</v>
      </c>
      <c r="M4" s="316">
        <v>5</v>
      </c>
      <c r="N4" s="317" t="s">
        <v>225</v>
      </c>
      <c r="O4" s="318" t="s">
        <v>226</v>
      </c>
    </row>
    <row r="5" spans="1:15" x14ac:dyDescent="0.3">
      <c r="A5" s="7" t="s">
        <v>229</v>
      </c>
      <c r="B5" s="319">
        <v>0.91</v>
      </c>
      <c r="I5" s="314" t="s">
        <v>227</v>
      </c>
      <c r="J5" s="315" t="s">
        <v>224</v>
      </c>
      <c r="K5" s="316">
        <v>100</v>
      </c>
      <c r="L5" s="316">
        <v>0.95</v>
      </c>
      <c r="M5" s="316">
        <v>5</v>
      </c>
      <c r="N5" s="317" t="s">
        <v>225</v>
      </c>
      <c r="O5" s="318" t="s">
        <v>226</v>
      </c>
    </row>
    <row r="6" spans="1:15" x14ac:dyDescent="0.3">
      <c r="A6" t="s">
        <v>230</v>
      </c>
      <c r="B6" s="320">
        <v>1.4</v>
      </c>
      <c r="G6" s="311" t="s">
        <v>124</v>
      </c>
      <c r="I6" s="314" t="s">
        <v>20</v>
      </c>
      <c r="J6" s="315"/>
      <c r="K6" s="316"/>
      <c r="L6" s="316"/>
      <c r="M6" s="316"/>
      <c r="N6" s="317"/>
      <c r="O6" s="318"/>
    </row>
    <row r="7" spans="1:15" x14ac:dyDescent="0.3">
      <c r="A7" s="7" t="s">
        <v>231</v>
      </c>
      <c r="B7" s="319">
        <v>0.91</v>
      </c>
      <c r="G7" s="311" t="s">
        <v>114</v>
      </c>
      <c r="I7" s="314" t="s">
        <v>228</v>
      </c>
      <c r="J7" s="315" t="s">
        <v>224</v>
      </c>
      <c r="K7" s="316">
        <v>100</v>
      </c>
      <c r="L7" s="316">
        <v>0.92</v>
      </c>
      <c r="M7" s="316">
        <v>5</v>
      </c>
      <c r="N7" s="317" t="s">
        <v>225</v>
      </c>
      <c r="O7" s="318" t="s">
        <v>226</v>
      </c>
    </row>
    <row r="8" spans="1:15" x14ac:dyDescent="0.3">
      <c r="A8" t="s">
        <v>232</v>
      </c>
      <c r="B8" s="320">
        <v>2.7</v>
      </c>
      <c r="G8" s="311" t="s">
        <v>115</v>
      </c>
      <c r="I8" s="314" t="s">
        <v>120</v>
      </c>
      <c r="J8" s="315" t="s">
        <v>224</v>
      </c>
      <c r="K8" s="316">
        <v>100</v>
      </c>
      <c r="L8" s="316">
        <v>0.92</v>
      </c>
      <c r="M8" s="316">
        <v>5</v>
      </c>
      <c r="N8" s="317" t="s">
        <v>225</v>
      </c>
      <c r="O8" s="318" t="s">
        <v>226</v>
      </c>
    </row>
    <row r="9" spans="1:15" x14ac:dyDescent="0.3">
      <c r="A9" s="7" t="s">
        <v>233</v>
      </c>
      <c r="B9" s="319">
        <v>0.92</v>
      </c>
      <c r="G9" s="311" t="s">
        <v>116</v>
      </c>
      <c r="I9" s="314" t="s">
        <v>114</v>
      </c>
      <c r="J9" s="315" t="s">
        <v>224</v>
      </c>
      <c r="K9" s="316">
        <v>100</v>
      </c>
      <c r="L9" s="316">
        <v>1.1399999999999999</v>
      </c>
      <c r="M9" s="316">
        <v>5</v>
      </c>
      <c r="N9" s="317" t="s">
        <v>225</v>
      </c>
      <c r="O9" s="318" t="s">
        <v>226</v>
      </c>
    </row>
    <row r="10" spans="1:15" x14ac:dyDescent="0.3">
      <c r="A10" t="s">
        <v>234</v>
      </c>
      <c r="B10" s="320">
        <v>0.93</v>
      </c>
      <c r="G10" s="311" t="s">
        <v>118</v>
      </c>
      <c r="I10" s="314" t="s">
        <v>241</v>
      </c>
      <c r="J10" s="315" t="s">
        <v>224</v>
      </c>
      <c r="K10" s="316">
        <v>100</v>
      </c>
      <c r="L10" s="316">
        <v>1</v>
      </c>
      <c r="M10" s="316">
        <v>8</v>
      </c>
      <c r="N10" s="317" t="s">
        <v>225</v>
      </c>
      <c r="O10" s="318" t="s">
        <v>226</v>
      </c>
    </row>
    <row r="11" spans="1:15" x14ac:dyDescent="0.3">
      <c r="A11" s="7" t="s">
        <v>235</v>
      </c>
      <c r="B11" s="319">
        <v>1.24</v>
      </c>
      <c r="G11" s="311" t="s">
        <v>117</v>
      </c>
      <c r="I11" s="314" t="s">
        <v>122</v>
      </c>
      <c r="J11" s="315" t="s">
        <v>224</v>
      </c>
      <c r="K11" s="316">
        <v>100</v>
      </c>
      <c r="L11" s="316">
        <v>1.38</v>
      </c>
      <c r="M11" s="316">
        <v>5</v>
      </c>
      <c r="N11" s="317" t="s">
        <v>225</v>
      </c>
      <c r="O11" s="318" t="s">
        <v>226</v>
      </c>
    </row>
    <row r="12" spans="1:15" x14ac:dyDescent="0.3">
      <c r="A12" t="s">
        <v>236</v>
      </c>
      <c r="B12" s="320">
        <v>0.92</v>
      </c>
      <c r="G12" s="311" t="s">
        <v>123</v>
      </c>
      <c r="I12" s="314" t="s">
        <v>121</v>
      </c>
      <c r="J12" s="315" t="s">
        <v>224</v>
      </c>
      <c r="K12" s="316">
        <v>100</v>
      </c>
      <c r="L12" s="316">
        <v>1.38</v>
      </c>
      <c r="M12" s="316">
        <v>5</v>
      </c>
      <c r="N12" s="317" t="s">
        <v>225</v>
      </c>
      <c r="O12" s="318" t="s">
        <v>226</v>
      </c>
    </row>
    <row r="13" spans="1:15" ht="27.6" x14ac:dyDescent="0.3">
      <c r="A13" s="7" t="s">
        <v>237</v>
      </c>
      <c r="B13" s="319">
        <v>1</v>
      </c>
      <c r="G13" s="309" t="s">
        <v>20</v>
      </c>
      <c r="I13" s="314" t="s">
        <v>242</v>
      </c>
    </row>
    <row r="14" spans="1:15" x14ac:dyDescent="0.3">
      <c r="A14" t="s">
        <v>238</v>
      </c>
      <c r="B14" s="320">
        <v>1</v>
      </c>
      <c r="G14" s="311" t="s">
        <v>119</v>
      </c>
      <c r="I14" s="314" t="s">
        <v>243</v>
      </c>
    </row>
    <row r="15" spans="1:15" x14ac:dyDescent="0.3">
      <c r="A15" s="7" t="s">
        <v>239</v>
      </c>
      <c r="B15" s="319">
        <v>1</v>
      </c>
      <c r="G15" s="311" t="s">
        <v>120</v>
      </c>
      <c r="I15" s="311" t="s">
        <v>118</v>
      </c>
    </row>
    <row r="16" spans="1:15" x14ac:dyDescent="0.3">
      <c r="A16" s="321" t="s">
        <v>240</v>
      </c>
      <c r="B16" s="322">
        <v>1</v>
      </c>
      <c r="G16" s="310" t="s">
        <v>21</v>
      </c>
      <c r="I16" s="311" t="s">
        <v>117</v>
      </c>
    </row>
    <row r="17" spans="7:9" x14ac:dyDescent="0.3">
      <c r="G17" s="311" t="s">
        <v>121</v>
      </c>
      <c r="I17" s="314" t="s">
        <v>244</v>
      </c>
    </row>
    <row r="18" spans="7:9" x14ac:dyDescent="0.3">
      <c r="G18" s="311" t="s">
        <v>122</v>
      </c>
      <c r="I18" s="314" t="s">
        <v>245</v>
      </c>
    </row>
    <row r="19" spans="7:9" x14ac:dyDescent="0.3">
      <c r="G19" s="309" t="s">
        <v>22</v>
      </c>
      <c r="I19" s="309" t="s">
        <v>22</v>
      </c>
    </row>
    <row r="20" spans="7:9" x14ac:dyDescent="0.3">
      <c r="G20" s="310" t="s">
        <v>23</v>
      </c>
      <c r="I20" s="310" t="s">
        <v>23</v>
      </c>
    </row>
    <row r="21" spans="7:9" x14ac:dyDescent="0.3">
      <c r="G21" s="311" t="s">
        <v>111</v>
      </c>
      <c r="I21" s="7" t="s">
        <v>246</v>
      </c>
    </row>
    <row r="22" spans="7:9" x14ac:dyDescent="0.3">
      <c r="G22" s="31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64" t="s">
        <v>153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65" t="s">
        <v>50</v>
      </c>
      <c r="B3" s="265"/>
      <c r="C3" s="266" t="s">
        <v>131</v>
      </c>
      <c r="D3" s="266"/>
      <c r="E3" s="266"/>
      <c r="F3" s="9"/>
      <c r="G3" s="265" t="s">
        <v>56</v>
      </c>
      <c r="H3" s="265"/>
      <c r="I3" s="266" t="s">
        <v>132</v>
      </c>
      <c r="J3" s="266"/>
      <c r="K3" s="266"/>
      <c r="L3" s="266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65" t="s">
        <v>51</v>
      </c>
      <c r="B5" s="265"/>
      <c r="C5" s="273" t="s">
        <v>1</v>
      </c>
      <c r="D5" s="273"/>
      <c r="E5" s="273"/>
      <c r="F5" s="9"/>
      <c r="G5" s="265" t="s">
        <v>53</v>
      </c>
      <c r="H5" s="265"/>
      <c r="I5" s="274">
        <v>20000</v>
      </c>
      <c r="J5" s="274"/>
      <c r="K5" s="273" t="s">
        <v>2</v>
      </c>
      <c r="L5" s="273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75" t="s">
        <v>54</v>
      </c>
      <c r="B9" s="275"/>
      <c r="C9" s="275"/>
      <c r="O9" s="20"/>
      <c r="P9" s="20"/>
      <c r="Q9" s="20"/>
    </row>
    <row r="10" spans="1:19" ht="15.6" x14ac:dyDescent="0.3">
      <c r="A10" s="275" t="s">
        <v>55</v>
      </c>
      <c r="B10" s="275"/>
      <c r="C10" s="275"/>
      <c r="N10" s="259"/>
      <c r="O10" s="259"/>
      <c r="P10" s="259"/>
      <c r="Q10" s="259"/>
      <c r="R10" s="44"/>
    </row>
    <row r="11" spans="1:19" ht="15" thickBot="1" x14ac:dyDescent="0.35"/>
    <row r="12" spans="1:19" ht="15" thickBot="1" x14ac:dyDescent="0.35">
      <c r="A12" s="263"/>
      <c r="B12" s="263"/>
      <c r="C12" s="263"/>
      <c r="E12" s="282" t="s">
        <v>68</v>
      </c>
      <c r="F12" s="283"/>
      <c r="G12" s="284"/>
      <c r="I12" s="263"/>
      <c r="J12" s="263"/>
      <c r="K12" s="263"/>
      <c r="M12" s="263"/>
      <c r="N12" s="263"/>
      <c r="O12" s="263"/>
    </row>
    <row r="13" spans="1:19" x14ac:dyDescent="0.3">
      <c r="A13" s="256"/>
      <c r="B13" s="256"/>
      <c r="C13" s="21"/>
      <c r="E13" s="285" t="s">
        <v>69</v>
      </c>
      <c r="F13" s="286"/>
      <c r="G13" s="29">
        <v>102</v>
      </c>
      <c r="I13" s="256"/>
      <c r="J13" s="256"/>
      <c r="K13" s="21"/>
      <c r="M13" s="256"/>
      <c r="N13" s="256"/>
      <c r="O13" s="129"/>
    </row>
    <row r="14" spans="1:19" x14ac:dyDescent="0.3">
      <c r="A14" s="256"/>
      <c r="B14" s="256"/>
      <c r="C14" s="21"/>
      <c r="E14" s="254" t="s">
        <v>8</v>
      </c>
      <c r="F14" s="255"/>
      <c r="G14" s="30">
        <v>33</v>
      </c>
      <c r="I14" s="256"/>
      <c r="J14" s="256"/>
      <c r="K14" s="21"/>
      <c r="M14" s="256"/>
      <c r="N14" s="256"/>
      <c r="O14" s="130"/>
      <c r="P14" s="21"/>
      <c r="R14" s="21"/>
    </row>
    <row r="15" spans="1:19" x14ac:dyDescent="0.3">
      <c r="A15" s="256"/>
      <c r="B15" s="256"/>
      <c r="C15" s="131"/>
      <c r="E15" s="280" t="s">
        <v>9</v>
      </c>
      <c r="F15" s="281"/>
      <c r="G15" s="30">
        <v>161</v>
      </c>
      <c r="I15" s="4"/>
      <c r="J15" s="4"/>
      <c r="K15" s="131"/>
      <c r="M15" s="256"/>
      <c r="N15" s="256"/>
      <c r="O15" s="130"/>
      <c r="P15" s="21"/>
      <c r="R15" s="21"/>
    </row>
    <row r="16" spans="1:19" x14ac:dyDescent="0.3">
      <c r="A16" s="256"/>
      <c r="B16" s="256"/>
      <c r="C16" s="6"/>
      <c r="E16" s="23" t="s">
        <v>6</v>
      </c>
      <c r="F16" s="22"/>
      <c r="G16" s="31">
        <v>20</v>
      </c>
      <c r="I16" s="256"/>
      <c r="J16" s="256"/>
      <c r="K16" s="6"/>
      <c r="M16" s="256"/>
      <c r="N16" s="256"/>
      <c r="O16" s="129"/>
    </row>
    <row r="17" spans="1:15" ht="15" thickBot="1" x14ac:dyDescent="0.35">
      <c r="A17" s="256"/>
      <c r="B17" s="256"/>
      <c r="C17" s="6"/>
      <c r="E17" s="257" t="s">
        <v>7</v>
      </c>
      <c r="F17" s="258"/>
      <c r="G17" s="32">
        <v>30</v>
      </c>
      <c r="M17" s="256"/>
      <c r="N17" s="256"/>
      <c r="O17" s="130"/>
    </row>
    <row r="18" spans="1:15" x14ac:dyDescent="0.3">
      <c r="M18" s="256"/>
      <c r="N18" s="256"/>
      <c r="O18" s="101"/>
    </row>
    <row r="19" spans="1:15" x14ac:dyDescent="0.3">
      <c r="M19" s="276"/>
      <c r="N19" s="276"/>
      <c r="O19" s="132"/>
    </row>
    <row r="20" spans="1:15" x14ac:dyDescent="0.3">
      <c r="M20" s="276"/>
      <c r="N20" s="276"/>
      <c r="O20" s="133"/>
    </row>
    <row r="21" spans="1:15" x14ac:dyDescent="0.3">
      <c r="C21" s="250" t="s">
        <v>81</v>
      </c>
      <c r="D21" s="53"/>
      <c r="E21" s="250" t="s">
        <v>81</v>
      </c>
      <c r="F21" s="250"/>
      <c r="G21" s="250" t="s">
        <v>81</v>
      </c>
      <c r="H21" s="250" t="s">
        <v>81</v>
      </c>
    </row>
    <row r="22" spans="1:15" x14ac:dyDescent="0.3">
      <c r="C22" s="250"/>
      <c r="D22" s="53"/>
      <c r="E22" s="250"/>
      <c r="F22" s="250"/>
      <c r="G22" s="250"/>
      <c r="H22" s="250"/>
    </row>
    <row r="23" spans="1:15" ht="15" thickBot="1" x14ac:dyDescent="0.35">
      <c r="C23" s="251"/>
      <c r="D23" s="53"/>
      <c r="E23" s="251"/>
      <c r="F23" s="251"/>
      <c r="G23" s="251"/>
      <c r="H23" s="251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20700.147710487447</v>
      </c>
      <c r="K25" s="75">
        <f>table1[[#This Row],[Total GSM]]/$B$37</f>
        <v>0.94091580502215655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0.25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</v>
      </c>
      <c r="G26" s="71">
        <f>VLOOKUP(B26,Material[],4,FALSE)</f>
        <v>4.5</v>
      </c>
      <c r="H26" s="51">
        <v>0.1</v>
      </c>
      <c r="I26" s="47">
        <f>(IF(A26="Substrate",(F26*G26)/1000,(D26*G26)/1000))*(1+table1[[#This Row],[Waste
%]])</f>
        <v>3.9600000000000003E-2</v>
      </c>
      <c r="J26" s="52">
        <f t="shared" ref="J26" si="1">IF(A26="Substrate",(($I$36*F26)/$B$37)*(1+H26),(($I$36*D26)/$B$37)*(1+H26))</f>
        <v>5199.4091580502218</v>
      </c>
      <c r="K26" s="58">
        <f>table1[[#This Row],[Total GSM]]/$B$37</f>
        <v>5.9084194977843424E-2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52" t="s">
        <v>38</v>
      </c>
      <c r="B31" s="253"/>
      <c r="C31" s="253"/>
      <c r="D31" s="253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2E-3</v>
      </c>
      <c r="J31" s="125">
        <f>(SUMIFS(table1[Est.
Required Kgs],table1[Type], "Ink") + SUMIFS(table1[Est.
Required Kgs],table1[Material], "Solvent Base"))*$F$31</f>
        <v>7799.1137370753331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0.91486486486486496</v>
      </c>
      <c r="C35" s="232" t="s">
        <v>66</v>
      </c>
      <c r="D35" s="232"/>
      <c r="E35" s="35">
        <f>IF(C5="Roll", (1000/(C13*C14*B37*0.001*0.001))*C16, IF(C5="Sleeve", (1000/(G14*G15*B37*0.001*0.001))*1, IF(C5="Bag or Pouch", (1000/(K14*K13*B37*0.001*0.001))*1, "")))</f>
        <v>5560.3420833656528</v>
      </c>
      <c r="F35" s="232" t="s">
        <v>65</v>
      </c>
      <c r="G35" s="232"/>
      <c r="H35" s="232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</v>
      </c>
      <c r="C36" s="232" t="s">
        <v>59</v>
      </c>
      <c r="D36" s="232"/>
      <c r="E36" s="15">
        <f>1000/E35</f>
        <v>0.17984505000000001</v>
      </c>
      <c r="F36" s="232" t="s">
        <v>88</v>
      </c>
      <c r="G36" s="232"/>
      <c r="H36" s="232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33.85</v>
      </c>
      <c r="C37" s="232" t="s">
        <v>60</v>
      </c>
      <c r="D37" s="232"/>
      <c r="E37" s="15">
        <f>1000/B37</f>
        <v>29.542097488921712</v>
      </c>
      <c r="F37" s="232" t="s">
        <v>89</v>
      </c>
      <c r="G37" s="232"/>
      <c r="H37" s="232"/>
      <c r="I37" s="38">
        <f>(I36*1000)/E36/1000</f>
        <v>111206.84166731306</v>
      </c>
    </row>
    <row r="38" spans="1:13" x14ac:dyDescent="0.3">
      <c r="A38" s="2" t="s">
        <v>83</v>
      </c>
      <c r="B38" s="16">
        <f>SUM(I25:I30)+I31</f>
        <v>0.10466300000000001</v>
      </c>
      <c r="C38" s="232" t="s">
        <v>86</v>
      </c>
      <c r="D38" s="232"/>
      <c r="E38" s="15">
        <f>(E37/I35)*1000</f>
        <v>29.249601474179915</v>
      </c>
      <c r="F38" s="232" t="s">
        <v>87</v>
      </c>
      <c r="G38" s="232"/>
      <c r="H38" s="232"/>
      <c r="I38" s="38">
        <f>I36*E38</f>
        <v>584992.02948359831</v>
      </c>
    </row>
    <row r="39" spans="1:13" x14ac:dyDescent="0.3">
      <c r="C39" s="232" t="s">
        <v>151</v>
      </c>
      <c r="D39" s="232"/>
      <c r="E39" s="15">
        <f>IF(C5="Roll", ((E37/C13)*1000), IF(C5="Sleeve", ((E37/G14)*1000), IF(C5="Bag or Pouch", ((E37/K13)*1000), "")))</f>
        <v>895.2150754218701</v>
      </c>
    </row>
    <row r="40" spans="1:13" x14ac:dyDescent="0.3">
      <c r="C40" s="232"/>
      <c r="D40" s="23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33" t="s">
        <v>92</v>
      </c>
      <c r="B44" s="234"/>
      <c r="C44" s="235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36" t="s">
        <v>62</v>
      </c>
      <c r="B46" s="236"/>
      <c r="C46" s="23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36" t="s">
        <v>63</v>
      </c>
      <c r="B47" s="236"/>
      <c r="C47" s="236"/>
      <c r="D47" s="95">
        <f>IF(C5="Roll",(((D46/2)^2-(D44/2)^2)*PI()*C13*B35/1000000),IF(C5="Sleeve",(((D46/2)^2-(D44/2)^2)*PI()*G14*B35/1000000),IF(C5="Bag or Pouch",(((D46/2)^2-(D44/2)^2)*PI()*K13*B35/1000000))))</f>
        <v>7.801683863720231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36" t="s">
        <v>48</v>
      </c>
      <c r="B48" s="236"/>
      <c r="C48" s="236"/>
      <c r="D48" s="96">
        <f>IF(C5="Roll",((D47*1000/B35)/((B36/10000)*(C13/10))/100),IF(C5="Sleeve",((D47*1000/B35)/((B36/10000)*(G14/10))/100),IF(C5="Bag or Pouch",((D47*1000/B35)/((B36/10000)*(K13/10))/100))))</f>
        <v>6984.1850084778926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36" t="s">
        <v>85</v>
      </c>
      <c r="B49" s="236"/>
      <c r="C49" s="236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36" t="s">
        <v>64</v>
      </c>
      <c r="B50" s="236"/>
      <c r="C50" s="236"/>
      <c r="D50" s="98">
        <f>(D47*E35)</f>
        <v>43380.031108558345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36" t="s">
        <v>93</v>
      </c>
      <c r="B52" s="236"/>
      <c r="C52" s="236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36" t="s">
        <v>49</v>
      </c>
      <c r="B53" s="236"/>
      <c r="C53" s="23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1739.3365512543585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287">
        <f>SUMIF($A$60:$A$69,"true",$G$60:$G$69)</f>
        <v>145298.03393928759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41.999468632239889</v>
      </c>
      <c r="F61" s="113">
        <v>300</v>
      </c>
      <c r="G61" s="114">
        <f t="shared" ref="G61:G68" si="3">F61*E61</f>
        <v>12599.840589671967</v>
      </c>
      <c r="H61" s="288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288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288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288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288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19.999734316119945</v>
      </c>
      <c r="F66" s="113">
        <v>50</v>
      </c>
      <c r="G66" s="114">
        <f t="shared" si="3"/>
        <v>999.98671580599728</v>
      </c>
      <c r="H66" s="288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585.49202948359846</v>
      </c>
      <c r="F67" s="113">
        <v>100</v>
      </c>
      <c r="G67" s="114">
        <f t="shared" si="3"/>
        <v>58549.202948359845</v>
      </c>
      <c r="H67" s="288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1462.9800737089959</v>
      </c>
      <c r="F68" s="113">
        <v>50</v>
      </c>
      <c r="G68" s="114">
        <f t="shared" si="3"/>
        <v>73149.003685449788</v>
      </c>
      <c r="H68" s="288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289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7.2649016969643796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40"/>
      <c r="C73" s="241" t="s">
        <v>41</v>
      </c>
      <c r="D73" s="80" t="s">
        <v>91</v>
      </c>
      <c r="E73" s="243" t="s">
        <v>42</v>
      </c>
      <c r="F73" s="245" t="s">
        <v>43</v>
      </c>
      <c r="G73" s="245" t="s">
        <v>107</v>
      </c>
      <c r="H73" s="247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40"/>
      <c r="C74" s="242"/>
      <c r="D74" s="181">
        <v>0.3</v>
      </c>
      <c r="E74" s="244"/>
      <c r="F74" s="246"/>
      <c r="G74" s="246"/>
      <c r="H74" s="248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3.0919645494830132</v>
      </c>
      <c r="D75" s="183">
        <f>C75*D74</f>
        <v>0.92758936484490395</v>
      </c>
      <c r="E75" s="184">
        <v>0.1</v>
      </c>
      <c r="F75" s="184">
        <v>0.2</v>
      </c>
      <c r="G75" s="184">
        <f>H70</f>
        <v>7.2649016969643796</v>
      </c>
      <c r="H75" s="186">
        <f>SUM(C75:G75)</f>
        <v>11.584455611292297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0.55607451900000004</v>
      </c>
      <c r="D76" s="91">
        <f>(D75/$E$35)*1000</f>
        <v>0.16682235569999998</v>
      </c>
      <c r="E76" s="91">
        <f>(E75/$E$35)*1000</f>
        <v>1.7984505000000001E-2</v>
      </c>
      <c r="F76" s="91">
        <f>(F75/$E$35)*1000</f>
        <v>3.5969010000000003E-2</v>
      </c>
      <c r="G76" s="91">
        <f>(G75/$E$35)*1000</f>
        <v>1.3065566089356435</v>
      </c>
      <c r="H76" s="188">
        <f>SUM(C76:G76)</f>
        <v>2.0834069986356436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0.10466300000000001</v>
      </c>
      <c r="D77" s="92">
        <f t="shared" ref="D77:F77" si="4">(D75/$E$37)</f>
        <v>3.13989E-2</v>
      </c>
      <c r="E77" s="92">
        <f t="shared" si="4"/>
        <v>3.3850000000000004E-3</v>
      </c>
      <c r="F77" s="92">
        <f t="shared" si="4"/>
        <v>6.7700000000000008E-3</v>
      </c>
      <c r="G77" s="92">
        <f t="shared" ref="G77" si="5">(G75/$E$37)</f>
        <v>0.24591692244224425</v>
      </c>
      <c r="H77" s="189">
        <f>SUM(C77:G77)</f>
        <v>0.39213382244224426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3.453879E-3</v>
      </c>
      <c r="D78" s="92">
        <f>(D75/$E$39)</f>
        <v>1.0361636999999999E-3</v>
      </c>
      <c r="E78" s="92">
        <f>(E75/$E$39)</f>
        <v>1.11705E-4</v>
      </c>
      <c r="F78" s="92">
        <f>(F75/$E$39)</f>
        <v>2.2341E-4</v>
      </c>
      <c r="G78" s="92">
        <f>(G75/$E$39)</f>
        <v>8.1152584405940597E-3</v>
      </c>
      <c r="H78" s="189">
        <f>SUM(C78:G78)</f>
        <v>1.294041614059406E-2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1.7269395000000001</v>
      </c>
      <c r="D79" s="191">
        <f>D78*500</f>
        <v>0.51808184999999995</v>
      </c>
      <c r="E79" s="191">
        <f t="shared" ref="E79:G79" si="6">E78*500</f>
        <v>5.5852499999999999E-2</v>
      </c>
      <c r="F79" s="191">
        <f t="shared" si="6"/>
        <v>0.111705</v>
      </c>
      <c r="G79" s="191">
        <f t="shared" si="6"/>
        <v>4.0576292202970299</v>
      </c>
      <c r="H79" s="192">
        <f>SUM(C79:G79)</f>
        <v>6.4702080702970299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39"/>
      <c r="I82" s="239"/>
      <c r="J82" s="239"/>
      <c r="K82" s="41"/>
      <c r="L82" s="41"/>
      <c r="M82" s="41"/>
      <c r="N82" s="41"/>
    </row>
    <row r="83" spans="1:21" ht="18" x14ac:dyDescent="0.35">
      <c r="A83" s="54"/>
      <c r="B83" s="238" t="s">
        <v>136</v>
      </c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290" t="s">
        <v>146</v>
      </c>
      <c r="I87" s="291"/>
      <c r="J87" s="17" t="s">
        <v>148</v>
      </c>
      <c r="K87" s="292" t="s">
        <v>147</v>
      </c>
      <c r="L87" s="293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294">
        <f>C75+H70</f>
        <v>10.356866246447392</v>
      </c>
      <c r="I88" s="295"/>
      <c r="J88" s="162">
        <f>(K88-H88)/H88</f>
        <v>0.95343569181762111</v>
      </c>
      <c r="K88" s="296">
        <f>E106+E122</f>
        <v>20.231472181191531</v>
      </c>
      <c r="L88" s="297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0.10323613646002601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5459.3796159527328</v>
      </c>
      <c r="D92" s="142">
        <f t="shared" si="8"/>
        <v>4.5</v>
      </c>
      <c r="E92" s="147">
        <f t="shared" ref="E92:E104" si="10">IFERROR(D92*C92,"")</f>
        <v>24567.208271787298</v>
      </c>
      <c r="F92" s="163">
        <f t="shared" ref="F92:F104" si="11">IFERROR(E92/$E$105,"")</f>
        <v>0.88063321721809495</v>
      </c>
      <c r="P92" s="222"/>
      <c r="Q92" s="267" t="s">
        <v>159</v>
      </c>
      <c r="R92" s="267"/>
      <c r="S92" s="112">
        <f>H75</f>
        <v>11.584455611292297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71" t="s">
        <v>148</v>
      </c>
      <c r="U94" s="272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10.356866246447392</v>
      </c>
      <c r="S95" s="211">
        <f>R95/S92</f>
        <v>0.89403132904680693</v>
      </c>
      <c r="T95" s="268">
        <f>R96-R95</f>
        <v>9.8746059347441388</v>
      </c>
      <c r="U95" s="270">
        <f>(R96-R95)/R95</f>
        <v>0.95343569181762111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20.231472181191531</v>
      </c>
      <c r="S96" s="211">
        <f>R96/S92</f>
        <v>1.7464327077631765</v>
      </c>
      <c r="T96" s="269"/>
      <c r="U96" s="270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1.2275893648449046</v>
      </c>
      <c r="S97" s="218">
        <f>R97/S92</f>
        <v>0.10596867095319308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-8.6470165698992343</v>
      </c>
      <c r="S98" s="211">
        <f>R98/S92</f>
        <v>-0.74643270776317661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1.6130646321879064E-2</v>
      </c>
      <c r="P104" s="222"/>
    </row>
    <row r="105" spans="2:19" x14ac:dyDescent="0.3">
      <c r="B105" s="41"/>
      <c r="E105" s="141">
        <f>SUM(E91:E104)</f>
        <v>27897.208271787298</v>
      </c>
      <c r="P105" s="222"/>
    </row>
    <row r="106" spans="2:19" x14ac:dyDescent="0.3">
      <c r="B106" s="41"/>
      <c r="D106" s="87" t="s">
        <v>141</v>
      </c>
      <c r="E106" s="140">
        <f>E105/C85</f>
        <v>18.598138847858198</v>
      </c>
      <c r="P106" s="222"/>
    </row>
    <row r="107" spans="2:19" x14ac:dyDescent="0.3">
      <c r="B107" s="41"/>
      <c r="D107" s="87" t="s">
        <v>142</v>
      </c>
      <c r="E107" s="159">
        <f>(E106-C75)/C75</f>
        <v>5.0149909710212786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37" t="s">
        <v>145</v>
      </c>
      <c r="C122" s="237"/>
      <c r="D122" s="237"/>
      <c r="E122" s="140">
        <f>E121/C85</f>
        <v>1.6333333333333333</v>
      </c>
      <c r="P122" s="222"/>
    </row>
    <row r="123" spans="2:16" x14ac:dyDescent="0.3">
      <c r="B123" s="237" t="s">
        <v>142</v>
      </c>
      <c r="C123" s="237"/>
      <c r="D123" s="237"/>
      <c r="E123" s="159">
        <f>(E122-H70)/H70</f>
        <v>-0.77517475095143862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9" zoomScaleNormal="100" workbookViewId="0">
      <selection activeCell="N36" sqref="N3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64" t="s">
        <v>153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65" t="s">
        <v>50</v>
      </c>
      <c r="B3" s="265"/>
      <c r="C3" s="266" t="s">
        <v>133</v>
      </c>
      <c r="D3" s="266"/>
      <c r="E3" s="266"/>
      <c r="F3" s="9"/>
      <c r="G3" s="265" t="s">
        <v>56</v>
      </c>
      <c r="H3" s="265"/>
      <c r="I3" s="266" t="s">
        <v>134</v>
      </c>
      <c r="J3" s="266"/>
      <c r="K3" s="266"/>
      <c r="L3" s="266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65" t="s">
        <v>51</v>
      </c>
      <c r="B5" s="265"/>
      <c r="C5" s="273" t="s">
        <v>52</v>
      </c>
      <c r="D5" s="273"/>
      <c r="E5" s="273"/>
      <c r="F5" s="9"/>
      <c r="G5" s="265" t="s">
        <v>53</v>
      </c>
      <c r="H5" s="265"/>
      <c r="I5" s="274">
        <v>500</v>
      </c>
      <c r="J5" s="274"/>
      <c r="K5" s="273" t="s">
        <v>3</v>
      </c>
      <c r="L5" s="273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75" t="s">
        <v>54</v>
      </c>
      <c r="B9" s="275"/>
      <c r="C9" s="275"/>
      <c r="O9" s="20"/>
      <c r="P9" s="20"/>
      <c r="Q9" s="20"/>
    </row>
    <row r="10" spans="1:19" ht="15.6" x14ac:dyDescent="0.3">
      <c r="A10" s="275" t="s">
        <v>55</v>
      </c>
      <c r="B10" s="275"/>
      <c r="C10" s="275"/>
      <c r="N10" s="259"/>
      <c r="O10" s="259"/>
      <c r="P10" s="259"/>
      <c r="Q10" s="259"/>
      <c r="R10" s="44"/>
    </row>
    <row r="11" spans="1:19" ht="15" thickBot="1" x14ac:dyDescent="0.35"/>
    <row r="12" spans="1:19" ht="15" thickBot="1" x14ac:dyDescent="0.35">
      <c r="A12" s="263"/>
      <c r="B12" s="263"/>
      <c r="C12" s="263"/>
      <c r="E12" s="263"/>
      <c r="F12" s="263"/>
      <c r="G12" s="263"/>
      <c r="I12" s="304" t="s">
        <v>70</v>
      </c>
      <c r="J12" s="305"/>
      <c r="K12" s="306"/>
      <c r="M12" s="304" t="s">
        <v>73</v>
      </c>
      <c r="N12" s="305"/>
      <c r="O12" s="306"/>
    </row>
    <row r="13" spans="1:19" x14ac:dyDescent="0.3">
      <c r="A13" s="256"/>
      <c r="B13" s="256"/>
      <c r="C13" s="21"/>
      <c r="E13" s="256"/>
      <c r="F13" s="256"/>
      <c r="G13" s="21"/>
      <c r="I13" s="285" t="s">
        <v>71</v>
      </c>
      <c r="J13" s="286"/>
      <c r="K13" s="29">
        <v>720</v>
      </c>
      <c r="M13" s="285" t="s">
        <v>75</v>
      </c>
      <c r="N13" s="286"/>
      <c r="O13" s="33">
        <v>6.94</v>
      </c>
    </row>
    <row r="14" spans="1:19" x14ac:dyDescent="0.3">
      <c r="A14" s="256"/>
      <c r="B14" s="256"/>
      <c r="C14" s="21"/>
      <c r="E14" s="256"/>
      <c r="F14" s="256"/>
      <c r="G14" s="21"/>
      <c r="I14" s="254" t="s">
        <v>72</v>
      </c>
      <c r="J14" s="255"/>
      <c r="K14" s="30">
        <v>310</v>
      </c>
      <c r="M14" s="254" t="s">
        <v>76</v>
      </c>
      <c r="N14" s="255"/>
      <c r="O14" s="34">
        <v>0.25</v>
      </c>
      <c r="P14" s="21"/>
      <c r="R14" s="21"/>
    </row>
    <row r="15" spans="1:19" x14ac:dyDescent="0.3">
      <c r="A15" s="256"/>
      <c r="B15" s="256"/>
      <c r="C15" s="131"/>
      <c r="E15" s="256"/>
      <c r="F15" s="256"/>
      <c r="G15" s="21"/>
      <c r="I15" s="23" t="s">
        <v>6</v>
      </c>
      <c r="J15" s="22"/>
      <c r="K15" s="31">
        <v>20</v>
      </c>
      <c r="M15" s="254" t="s">
        <v>74</v>
      </c>
      <c r="N15" s="255"/>
      <c r="O15" s="24">
        <f>O14/O13</f>
        <v>3.6023054755043228E-2</v>
      </c>
      <c r="P15" s="21"/>
      <c r="R15" s="21"/>
    </row>
    <row r="16" spans="1:19" ht="15" thickBot="1" x14ac:dyDescent="0.35">
      <c r="A16" s="256"/>
      <c r="B16" s="256"/>
      <c r="C16" s="6"/>
      <c r="E16" s="4"/>
      <c r="F16" s="4"/>
      <c r="G16" s="131"/>
      <c r="I16" s="257" t="s">
        <v>7</v>
      </c>
      <c r="J16" s="258"/>
      <c r="K16" s="32">
        <v>3</v>
      </c>
      <c r="M16" s="254" t="s">
        <v>77</v>
      </c>
      <c r="N16" s="255"/>
      <c r="O16" s="25">
        <f>K14*O13*0.001</f>
        <v>2.1514000000000002</v>
      </c>
    </row>
    <row r="17" spans="1:15" x14ac:dyDescent="0.3">
      <c r="A17" s="256"/>
      <c r="B17" s="256"/>
      <c r="C17" s="6"/>
      <c r="E17" s="256"/>
      <c r="F17" s="256"/>
      <c r="G17" s="6"/>
      <c r="M17" s="254" t="s">
        <v>78</v>
      </c>
      <c r="N17" s="255"/>
      <c r="O17" s="24">
        <f>O16*O15</f>
        <v>7.7500000000000013E-2</v>
      </c>
    </row>
    <row r="18" spans="1:15" x14ac:dyDescent="0.3">
      <c r="M18" s="254" t="s">
        <v>79</v>
      </c>
      <c r="N18" s="255"/>
      <c r="O18" s="26">
        <f>O17*E35</f>
        <v>2.0095041508317739</v>
      </c>
    </row>
    <row r="19" spans="1:15" x14ac:dyDescent="0.3">
      <c r="M19" s="298" t="s">
        <v>80</v>
      </c>
      <c r="N19" s="299"/>
      <c r="O19" s="27">
        <f>(O16*I37*1000)/O13</f>
        <v>155000</v>
      </c>
    </row>
    <row r="20" spans="1:15" ht="15" thickBot="1" x14ac:dyDescent="0.35">
      <c r="M20" s="300"/>
      <c r="N20" s="301"/>
      <c r="O20" s="28">
        <f>O16*I37</f>
        <v>1075.7</v>
      </c>
    </row>
    <row r="21" spans="1:15" x14ac:dyDescent="0.3">
      <c r="C21" s="250" t="s">
        <v>81</v>
      </c>
      <c r="D21" s="53"/>
      <c r="E21" s="250" t="s">
        <v>81</v>
      </c>
      <c r="F21" s="250"/>
      <c r="G21" s="250" t="s">
        <v>81</v>
      </c>
      <c r="H21" s="250" t="s">
        <v>81</v>
      </c>
    </row>
    <row r="22" spans="1:15" x14ac:dyDescent="0.3">
      <c r="C22" s="250"/>
      <c r="D22" s="53"/>
      <c r="E22" s="250"/>
      <c r="F22" s="250"/>
      <c r="G22" s="250"/>
      <c r="H22" s="250"/>
    </row>
    <row r="23" spans="1:15" ht="15" thickBot="1" x14ac:dyDescent="0.35">
      <c r="C23" s="251"/>
      <c r="D23" s="53"/>
      <c r="E23" s="251"/>
      <c r="F23" s="251"/>
      <c r="G23" s="251"/>
      <c r="H23" s="251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9.7227848833844541E-2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(IF(A26="Substrate",(F26*G26)/1000,(D26*G26)/1000))*(1+table111[[#This Row],[Waste
%]])</f>
        <v>3.9600000000000003E-2</v>
      </c>
      <c r="J26" s="179">
        <f t="shared" si="0"/>
        <v>982.08000000000015</v>
      </c>
      <c r="K26" s="180">
        <f>table111[[#This Row],[Total GSM]]/$B$37</f>
        <v>1.1574743908791018E-2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1.7362115863186527E-2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2994.1164000000008</v>
      </c>
      <c r="K28" s="180">
        <f>table111[[#This Row],[Total GSM]]/$B$37</f>
        <v>0.14115400196770647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1.7362115863186527E-2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0.53243821980438688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491.04000000000008</v>
      </c>
      <c r="K31" s="180">
        <f>table111[[#This Row],[Total GSM]]/$B$37</f>
        <v>2.3149487817582037E-2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0.15973146594131607</v>
      </c>
    </row>
    <row r="33" spans="1:14" ht="15" thickBot="1" x14ac:dyDescent="0.35">
      <c r="A33" s="302" t="s">
        <v>38</v>
      </c>
      <c r="B33" s="303"/>
      <c r="C33" s="303"/>
      <c r="D33" s="303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7.4999999999999997E-3</v>
      </c>
      <c r="J33" s="199">
        <f>(SUMIFS(table111[Est.
Required Kgs],table111[Type], "Ink") + SUMIFS(table111[Est.
Required Kgs],table111[Material], "Solvent Base"))*$F$33</f>
        <v>1718.6400000000003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1.0600613496932514</v>
      </c>
      <c r="C35" s="232" t="s">
        <v>66</v>
      </c>
      <c r="D35" s="232"/>
      <c r="E35" s="35">
        <f>IF(C5="Roll", (1000/(C13*C14*B37*0.001*0.001))*C16, IF(C5="Sleeve", (1000/(G14*G15*B37*0.001*0.001))*1, IF(C5="Bag or Pouch", (1000/(K14*K13*B37*0.001*0.001))*1, "")))</f>
        <v>25.929085817184177</v>
      </c>
      <c r="F35" s="232" t="s">
        <v>65</v>
      </c>
      <c r="G35" s="232"/>
      <c r="H35" s="232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</v>
      </c>
      <c r="C36" s="232" t="s">
        <v>59</v>
      </c>
      <c r="D36" s="232"/>
      <c r="E36" s="15">
        <f>1000/E35</f>
        <v>38.566728000000005</v>
      </c>
      <c r="F36" s="232" t="s">
        <v>88</v>
      </c>
      <c r="G36" s="232"/>
      <c r="H36" s="232"/>
      <c r="I36" s="38">
        <f>IF(UnitsDD="Kgs", I5,
 IF(UnitsDD="Kpcs", I5*E36,
 IF(UnitsDD="SQM", I5/E37,
 IF(UnitsDD="LM", I5/E39,
 IF(UnitsDD="Roll 500 LM", (I5/E39)*500, "")))))</f>
        <v>19283.364000000001</v>
      </c>
      <c r="K36" s="13"/>
    </row>
    <row r="37" spans="1:14" x14ac:dyDescent="0.3">
      <c r="A37" s="2" t="s">
        <v>15</v>
      </c>
      <c r="B37" s="37">
        <f>SUM(F25:F32)</f>
        <v>172.79</v>
      </c>
      <c r="C37" s="232" t="s">
        <v>60</v>
      </c>
      <c r="D37" s="232"/>
      <c r="E37" s="15">
        <f>1000/B37</f>
        <v>5.7873719543955096</v>
      </c>
      <c r="F37" s="232" t="s">
        <v>89</v>
      </c>
      <c r="G37" s="232"/>
      <c r="H37" s="232"/>
      <c r="I37" s="38">
        <f>(I36*1000)/E36/1000</f>
        <v>499.99999999999994</v>
      </c>
    </row>
    <row r="38" spans="1:14" x14ac:dyDescent="0.3">
      <c r="A38" s="2" t="s">
        <v>83</v>
      </c>
      <c r="B38" s="16">
        <f>SUM(I25:I32)+I33</f>
        <v>0.37950350000000005</v>
      </c>
      <c r="C38" s="232" t="s">
        <v>86</v>
      </c>
      <c r="D38" s="232"/>
      <c r="E38" s="15">
        <f>(E37/I35)*1000</f>
        <v>6.0919704783110626</v>
      </c>
      <c r="F38" s="232" t="s">
        <v>87</v>
      </c>
      <c r="G38" s="232"/>
      <c r="H38" s="232"/>
      <c r="I38" s="38">
        <f>I36*E38</f>
        <v>117473.68421052633</v>
      </c>
    </row>
    <row r="39" spans="1:14" x14ac:dyDescent="0.3">
      <c r="C39" s="232" t="s">
        <v>61</v>
      </c>
      <c r="D39" s="232"/>
      <c r="E39" s="15">
        <f>IF(C5="Roll", ((E37/C13)*1000), IF(C5="Sleeve", ((E37/G14)*1000), IF(C5="Bag or Pouch", ((E37/K13)*1000), "")))</f>
        <v>8.0380166033270974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233" t="s">
        <v>92</v>
      </c>
      <c r="B44" s="234"/>
      <c r="C44" s="235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36" t="s">
        <v>62</v>
      </c>
      <c r="B46" s="236"/>
      <c r="C46" s="236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36" t="s">
        <v>63</v>
      </c>
      <c r="B47" s="236"/>
      <c r="C47" s="236"/>
      <c r="D47" s="95">
        <f>IF(C5="Roll",(((D46/2)^2-(D44/2)^2)*PI()*C13*B35/1000000),IF(C5="Sleeve",(((D46/2)^2-(D44/2)^2)*PI()*G14*B35/1000000),IF(C5="Bag or Pouch",(((D46/2)^2-(D44/2)^2)*PI()*K13*B35/1000000))))</f>
        <v>35.381970487307228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36" t="s">
        <v>48</v>
      </c>
      <c r="B48" s="236"/>
      <c r="C48" s="236"/>
      <c r="D48" s="96">
        <f>IF(C5="Roll",((D47*1000/B35)/((B36/10000)*(C13/10))/100),IF(C5="Sleeve",((D47*1000/B35)/((B36/10000)*(G14/10))/100),IF(C5="Bag or Pouch",((D47*1000/B35)/((B36/10000)*(K13/10))/100))))</f>
        <v>284.40086623540481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36" t="s">
        <v>85</v>
      </c>
      <c r="B49" s="236"/>
      <c r="C49" s="236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36" t="s">
        <v>64</v>
      </c>
      <c r="B50" s="236"/>
      <c r="C50" s="236"/>
      <c r="D50" s="98">
        <f>(D47*E35)</f>
        <v>917.42214914646695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36" t="s">
        <v>93</v>
      </c>
      <c r="B52" s="236"/>
      <c r="C52" s="236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36" t="s">
        <v>49</v>
      </c>
      <c r="B53" s="236"/>
      <c r="C53" s="23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632.17634485576332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287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288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288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288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288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288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288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288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288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42.166666666666657</v>
      </c>
      <c r="F69" s="122">
        <v>100</v>
      </c>
      <c r="G69" s="123">
        <f>F69*E69</f>
        <v>4216.6666666666661</v>
      </c>
      <c r="H69" s="289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0.88459362651820395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40"/>
      <c r="C73" s="241" t="s">
        <v>41</v>
      </c>
      <c r="D73" s="80" t="s">
        <v>91</v>
      </c>
      <c r="E73" s="243" t="s">
        <v>42</v>
      </c>
      <c r="F73" s="245" t="s">
        <v>43</v>
      </c>
      <c r="G73" s="245" t="s">
        <v>107</v>
      </c>
      <c r="H73" s="247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40"/>
      <c r="C74" s="242"/>
      <c r="D74" s="181">
        <v>0.3</v>
      </c>
      <c r="E74" s="244"/>
      <c r="F74" s="246"/>
      <c r="G74" s="246"/>
      <c r="H74" s="248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2.1963279124949366</v>
      </c>
      <c r="D75" s="183">
        <f>C75*D74</f>
        <v>0.65889837374848093</v>
      </c>
      <c r="E75" s="184">
        <v>0.1</v>
      </c>
      <c r="F75" s="184">
        <v>0.2</v>
      </c>
      <c r="G75" s="184">
        <f>H70</f>
        <v>0.88459362651820395</v>
      </c>
      <c r="H75" s="186">
        <f>SUM(C75:G75)</f>
        <v>4.0398199127616214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84.705181200000041</v>
      </c>
      <c r="D76" s="91">
        <f>(D75/$E$35)*1000</f>
        <v>25.411554360000007</v>
      </c>
      <c r="E76" s="91">
        <f>(E75/$E$35)*1000</f>
        <v>3.8566728000000006</v>
      </c>
      <c r="F76" s="91">
        <f>(F75/$E$35)*1000</f>
        <v>7.7133456000000011</v>
      </c>
      <c r="G76" s="91">
        <f>(G75/$E$35)*1000</f>
        <v>34.115881784461166</v>
      </c>
      <c r="H76" s="188">
        <f>SUM(C76:G76)</f>
        <v>155.80263574446121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0.37950350000000005</v>
      </c>
      <c r="D77" s="92">
        <f t="shared" ref="D77:G77" si="4">(D75/$E$37)</f>
        <v>0.11385105000000001</v>
      </c>
      <c r="E77" s="92">
        <f t="shared" si="4"/>
        <v>1.7278999999999999E-2</v>
      </c>
      <c r="F77" s="92">
        <f t="shared" si="4"/>
        <v>3.4557999999999998E-2</v>
      </c>
      <c r="G77" s="92">
        <f t="shared" si="4"/>
        <v>0.15284893272608044</v>
      </c>
      <c r="H77" s="189">
        <f>SUM(C77:G77)</f>
        <v>0.69804048272608055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0.27324252000000004</v>
      </c>
      <c r="D78" s="92">
        <f>(D75/$E$39)</f>
        <v>8.1972755999999994E-2</v>
      </c>
      <c r="E78" s="92">
        <f>(E75/$E$39)</f>
        <v>1.2440879999999998E-2</v>
      </c>
      <c r="F78" s="92">
        <f>(F75/$E$39)</f>
        <v>2.4881759999999996E-2</v>
      </c>
      <c r="G78" s="92">
        <f>(G75/$E$39)</f>
        <v>0.11005123156277791</v>
      </c>
      <c r="H78" s="189">
        <f>SUM(C78:G78)</f>
        <v>0.50258914756277795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136.62126000000004</v>
      </c>
      <c r="D79" s="191">
        <f>D78*500</f>
        <v>40.986377999999995</v>
      </c>
      <c r="E79" s="191">
        <f t="shared" ref="E79:G79" si="5">E78*500</f>
        <v>6.2204399999999991</v>
      </c>
      <c r="F79" s="191">
        <f t="shared" si="5"/>
        <v>12.440879999999998</v>
      </c>
      <c r="G79" s="191">
        <f t="shared" si="5"/>
        <v>55.02561578138895</v>
      </c>
      <c r="H79" s="192">
        <f>SUM(C79:G79)</f>
        <v>251.29457378138898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39"/>
      <c r="I82" s="239"/>
      <c r="J82" s="239"/>
      <c r="K82" s="41"/>
      <c r="L82" s="41"/>
      <c r="M82" s="41"/>
      <c r="N82" s="41"/>
    </row>
    <row r="83" spans="1:21" ht="18" x14ac:dyDescent="0.35">
      <c r="A83" s="54"/>
      <c r="B83" s="238" t="s">
        <v>136</v>
      </c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290" t="s">
        <v>146</v>
      </c>
      <c r="I87" s="291"/>
      <c r="J87" s="17" t="s">
        <v>148</v>
      </c>
      <c r="K87" s="292" t="s">
        <v>147</v>
      </c>
      <c r="L87" s="293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294">
        <f>C75+H70</f>
        <v>3.0809215390131408</v>
      </c>
      <c r="I88" s="295"/>
      <c r="J88" s="162">
        <f>(K88-H88)/H88</f>
        <v>5.8472728784905177E-2</v>
      </c>
      <c r="K88" s="296">
        <f>E106+E122</f>
        <v>3.2610714285714288</v>
      </c>
      <c r="L88" s="297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7.4871314927468416E-2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</v>
      </c>
      <c r="E92" s="147">
        <f t="shared" ref="E92:E104" si="8">IFERROR(D92*C92,"")</f>
        <v>3150</v>
      </c>
      <c r="F92" s="163">
        <f t="shared" ref="F92:F104" si="9">IFERROR(E92/$E$105,"")</f>
        <v>9.8268600842302295E-2</v>
      </c>
      <c r="P92" s="222"/>
      <c r="Q92" s="267" t="s">
        <v>159</v>
      </c>
      <c r="R92" s="267"/>
      <c r="S92" s="112">
        <f>H75</f>
        <v>4.0398199127616214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5.2253938543129E-2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0.2402121353922945</v>
      </c>
      <c r="P94" s="222"/>
      <c r="R94" s="215" t="s">
        <v>45</v>
      </c>
      <c r="S94" s="216" t="s">
        <v>160</v>
      </c>
      <c r="T94" s="271" t="s">
        <v>148</v>
      </c>
      <c r="U94" s="272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3.1196381219778507E-2</v>
      </c>
      <c r="P95" s="222"/>
      <c r="Q95" s="212" t="s">
        <v>161</v>
      </c>
      <c r="R95" s="175">
        <f>C75+H70</f>
        <v>3.0809215390131408</v>
      </c>
      <c r="S95" s="211">
        <f>R95/S92</f>
        <v>0.7626383367438333</v>
      </c>
      <c r="T95" s="268">
        <f>R96-R95</f>
        <v>0.18014988955828803</v>
      </c>
      <c r="U95" s="270">
        <f>(R96-R95)/R95</f>
        <v>5.8472728784905177E-2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0.29948525970987366</v>
      </c>
      <c r="K96" s="2"/>
      <c r="L96" s="2"/>
      <c r="P96" s="222"/>
      <c r="Q96" s="212" t="s">
        <v>158</v>
      </c>
      <c r="R96" s="175">
        <f>E106+E122</f>
        <v>3.2610714285714288</v>
      </c>
      <c r="S96" s="211">
        <f>R96/S92</f>
        <v>0.80723188136922663</v>
      </c>
      <c r="T96" s="269"/>
      <c r="U96" s="270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3.9931367961316487E-2</v>
      </c>
      <c r="L97" s="43"/>
      <c r="P97" s="222"/>
      <c r="Q97" s="219" t="s">
        <v>156</v>
      </c>
      <c r="R97" s="217">
        <f>S92-R95</f>
        <v>0.95889837374848064</v>
      </c>
      <c r="S97" s="218">
        <f>R97/S92</f>
        <v>0.23736166325616667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9.3589143659335516E-2</v>
      </c>
      <c r="I98" s="3"/>
      <c r="P98" s="222"/>
      <c r="Q98" s="212" t="s">
        <v>157</v>
      </c>
      <c r="R98" s="175">
        <f>S92-R96</f>
        <v>0.7787484841901926</v>
      </c>
      <c r="S98" s="211">
        <f>R98/S92</f>
        <v>0.19276811863077334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7.0191857744501637E-2</v>
      </c>
      <c r="P104" s="222"/>
    </row>
    <row r="105" spans="2:19" x14ac:dyDescent="0.3">
      <c r="B105" s="41"/>
      <c r="E105" s="141">
        <f>SUM(E91:E104)</f>
        <v>32055</v>
      </c>
      <c r="P105" s="222"/>
    </row>
    <row r="106" spans="2:19" x14ac:dyDescent="0.3">
      <c r="B106" s="41"/>
      <c r="D106" s="87" t="s">
        <v>141</v>
      </c>
      <c r="E106" s="140">
        <f>E105/C85</f>
        <v>2.2896428571428573</v>
      </c>
      <c r="P106" s="222"/>
    </row>
    <row r="107" spans="2:19" x14ac:dyDescent="0.3">
      <c r="B107" s="41"/>
      <c r="D107" s="87" t="s">
        <v>142</v>
      </c>
      <c r="E107" s="159">
        <f>(E106-C75)/C75</f>
        <v>4.2486799952343543E-2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37" t="s">
        <v>145</v>
      </c>
      <c r="C122" s="237"/>
      <c r="D122" s="237"/>
      <c r="E122" s="140">
        <f>E121/C85</f>
        <v>0.97142857142857142</v>
      </c>
      <c r="P122" s="222"/>
    </row>
    <row r="123" spans="2:16" x14ac:dyDescent="0.3">
      <c r="B123" s="237" t="s">
        <v>142</v>
      </c>
      <c r="C123" s="237"/>
      <c r="D123" s="237"/>
      <c r="E123" s="159">
        <f>(E122-H70)/H70</f>
        <v>9.8163656516668904E-2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workbookViewId="0">
      <selection activeCell="G5" sqref="G5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07" t="s">
        <v>208</v>
      </c>
      <c r="H1" s="307"/>
      <c r="I1" s="307"/>
      <c r="J1" s="307"/>
      <c r="K1" s="307" t="s">
        <v>207</v>
      </c>
      <c r="L1" s="307"/>
      <c r="M1" s="307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08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08"/>
    </row>
    <row r="9" spans="2:17" x14ac:dyDescent="0.3">
      <c r="N9" t="s">
        <v>211</v>
      </c>
      <c r="O9" t="s">
        <v>200</v>
      </c>
      <c r="P9" s="19" t="s">
        <v>195</v>
      </c>
      <c r="Q9" s="308"/>
    </row>
    <row r="10" spans="2:17" x14ac:dyDescent="0.3">
      <c r="N10" t="s">
        <v>212</v>
      </c>
      <c r="O10" t="s">
        <v>197</v>
      </c>
      <c r="P10" s="19" t="s">
        <v>164</v>
      </c>
      <c r="Q10" s="308"/>
    </row>
    <row r="11" spans="2:17" x14ac:dyDescent="0.3">
      <c r="N11" t="s">
        <v>213</v>
      </c>
      <c r="O11" t="s">
        <v>198</v>
      </c>
      <c r="P11" s="19" t="s">
        <v>192</v>
      </c>
      <c r="Q11" s="308"/>
    </row>
    <row r="12" spans="2:17" x14ac:dyDescent="0.3">
      <c r="N12" t="s">
        <v>217</v>
      </c>
      <c r="O12" t="s">
        <v>216</v>
      </c>
      <c r="P12" s="19" t="s">
        <v>193</v>
      </c>
      <c r="Q12" s="308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57</vt:i4>
      </vt:variant>
    </vt:vector>
  </HeadingPairs>
  <TitlesOfParts>
    <vt:vector size="65" baseType="lpstr">
      <vt:lpstr>Substrate Costing Master</vt:lpstr>
      <vt:lpstr>Sheet3</vt:lpstr>
      <vt:lpstr>Roll</vt:lpstr>
      <vt:lpstr>Data</vt:lpstr>
      <vt:lpstr>Sheet1</vt:lpstr>
      <vt:lpstr>Sleeve</vt:lpstr>
      <vt:lpstr>Pouch</vt:lpstr>
      <vt:lpstr>Overall</vt:lpstr>
      <vt:lpstr>Pouch!Adhesive</vt:lpstr>
      <vt:lpstr>Roll!Adhesive</vt:lpstr>
      <vt:lpstr>Sleeve!Adhesive</vt:lpstr>
      <vt:lpstr>Adhesive</vt:lpstr>
      <vt:lpstr>Pouch!CO_Pouch</vt:lpstr>
      <vt:lpstr>Roll!CO_Pouch</vt:lpstr>
      <vt:lpstr>CO_Pouch</vt:lpstr>
      <vt:lpstr>Pouch!CO_Roll</vt:lpstr>
      <vt:lpstr>Roll!CO_Roll</vt:lpstr>
      <vt:lpstr>CO_Roll</vt:lpstr>
      <vt:lpstr>Pouch!CO_Sleeve</vt:lpstr>
      <vt:lpstr>Roll!CO_Sleeve</vt:lpstr>
      <vt:lpstr>CO_Sleeve</vt:lpstr>
      <vt:lpstr>Pouch!FLW</vt:lpstr>
      <vt:lpstr>Roll!FLW</vt:lpstr>
      <vt:lpstr>FLW</vt:lpstr>
      <vt:lpstr>Forms</vt:lpstr>
      <vt:lpstr>Pouch!Ink</vt:lpstr>
      <vt:lpstr>Roll!Ink</vt:lpstr>
      <vt:lpstr>Sleeve!Ink</vt:lpstr>
      <vt:lpstr>Ink</vt:lpstr>
      <vt:lpstr>Pouch!Nb_Ups_Sleeve</vt:lpstr>
      <vt:lpstr>Roll!Nb_Ups_Sleeve</vt:lpstr>
      <vt:lpstr>Nb_Ups_Sleeve</vt:lpstr>
      <vt:lpstr>Pouch!OQKG</vt:lpstr>
      <vt:lpstr>Roll!OQKG</vt:lpstr>
      <vt:lpstr>OQKG</vt:lpstr>
      <vt:lpstr>Pouch!OQM</vt:lpstr>
      <vt:lpstr>Roll!OQM</vt:lpstr>
      <vt:lpstr>OQM</vt:lpstr>
      <vt:lpstr>Packaging</vt:lpstr>
      <vt:lpstr>Pouch!Print_Area</vt:lpstr>
      <vt:lpstr>Roll!Print_Area</vt:lpstr>
      <vt:lpstr>Sleeve!Print_Area</vt:lpstr>
      <vt:lpstr>Pouch!Ptypes</vt:lpstr>
      <vt:lpstr>Roll!Ptypes</vt:lpstr>
      <vt:lpstr>Sleeve!Ptypes</vt:lpstr>
      <vt:lpstr>Ptypes</vt:lpstr>
      <vt:lpstr>Pouch!Substrate</vt:lpstr>
      <vt:lpstr>Roll!Substrate</vt:lpstr>
      <vt:lpstr>Sleeve!Substrate</vt:lpstr>
      <vt:lpstr>Substrate</vt:lpstr>
      <vt:lpstr>Pouch!Substrates</vt:lpstr>
      <vt:lpstr>Roll!Substrates</vt:lpstr>
      <vt:lpstr>Sleeve!Substrates</vt:lpstr>
      <vt:lpstr>Substrates</vt:lpstr>
      <vt:lpstr>Pouch!Type</vt:lpstr>
      <vt:lpstr>Roll!Type</vt:lpstr>
      <vt:lpstr>Sleeve!Type</vt:lpstr>
      <vt:lpstr>Type</vt:lpstr>
      <vt:lpstr>Pouch!Unit</vt:lpstr>
      <vt:lpstr>Roll!Unit</vt:lpstr>
      <vt:lpstr>Sleeve!Unit</vt:lpstr>
      <vt:lpstr>Unit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2026-06-19T14:28:33Z</dcterms:modified>
</cp:coreProperties>
</file>