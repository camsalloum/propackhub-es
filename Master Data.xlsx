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ProPackHub\apps\estimation-studio\"/>
    </mc:Choice>
  </mc:AlternateContent>
  <xr:revisionPtr revIDLastSave="0" documentId="13_ncr:1_{9CDA74A5-795D-4A6D-A27D-AFC79AE2CABB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Substrate" sheetId="1" r:id="rId1"/>
    <sheet name="Ink &amp; Coating" sheetId="2" r:id="rId2"/>
    <sheet name="Adhesive" sheetId="3" r:id="rId3"/>
    <sheet name="Packaging" sheetId="4" r:id="rId4"/>
    <sheet name="Unit" sheetId="5" r:id="rId5"/>
    <sheet name="PT" sheetId="6" r:id="rId6"/>
    <sheet name="RM Type" sheetId="7" r:id="rId7"/>
    <sheet name="Printing Web" sheetId="8" r:id="rId8"/>
  </sheets>
  <definedNames>
    <definedName name="Adhesive">tblAdhesive[Grade]</definedName>
    <definedName name="BOPP_Transparent">tblSubstrates[Substrate Grade]</definedName>
    <definedName name="InkCoating">tblInkCoating[Grade]</definedName>
    <definedName name="Packaging">tblPackaging[Grade]</definedName>
    <definedName name="PrintingWeb">tblPrintingWeb[Printing Web]</definedName>
    <definedName name="Ptypes">tblPtypes[Product Type]</definedName>
    <definedName name="SubstrateFamily">tblSubstrates[Substrate Family]</definedName>
    <definedName name="Type">tblRMTypes[RM Type]</definedName>
    <definedName name="Unit">tblUnits[Units]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4" l="1"/>
  <c r="E3" i="4"/>
  <c r="E2" i="4"/>
  <c r="E4" i="3"/>
  <c r="E3" i="3"/>
  <c r="E2" i="3"/>
  <c r="E14" i="2"/>
  <c r="E13" i="2"/>
  <c r="E12" i="2"/>
  <c r="E11" i="2"/>
  <c r="E10" i="2"/>
  <c r="E9" i="2"/>
  <c r="E8" i="2"/>
  <c r="E7" i="2"/>
  <c r="E6" i="2"/>
  <c r="E5" i="2"/>
  <c r="E4" i="2"/>
  <c r="E3" i="2"/>
  <c r="E2" i="2"/>
  <c r="E40" i="1"/>
  <c r="E39" i="1"/>
  <c r="E38" i="1"/>
  <c r="E37" i="1"/>
  <c r="E36" i="1"/>
  <c r="E35" i="1"/>
  <c r="E34" i="1"/>
  <c r="E2" i="1"/>
</calcChain>
</file>

<file path=xl/sharedStrings.xml><?xml version="1.0" encoding="utf-8"?>
<sst xmlns="http://schemas.openxmlformats.org/spreadsheetml/2006/main" count="231" uniqueCount="135">
  <si>
    <t>Product Type</t>
  </si>
  <si>
    <t>Code</t>
  </si>
  <si>
    <t>Roll</t>
  </si>
  <si>
    <t>roll</t>
  </si>
  <si>
    <t>Sleeve</t>
  </si>
  <si>
    <t>sleeve</t>
  </si>
  <si>
    <t>Bag</t>
  </si>
  <si>
    <t>pouch</t>
  </si>
  <si>
    <t>Substrate Family</t>
  </si>
  <si>
    <t>Substrate Grade</t>
  </si>
  <si>
    <t>Density (g/cm3)</t>
  </si>
  <si>
    <t>Solid %</t>
  </si>
  <si>
    <t>Hoover</t>
  </si>
  <si>
    <t>User Price</t>
  </si>
  <si>
    <t>Market Price</t>
  </si>
  <si>
    <t>BOPP</t>
  </si>
  <si>
    <t>BOPP Transparent</t>
  </si>
  <si>
    <t>BOPP Transparent HR</t>
  </si>
  <si>
    <t>Heat Resitant</t>
  </si>
  <si>
    <t>BOPP White Opaque</t>
  </si>
  <si>
    <t>Opaque White</t>
  </si>
  <si>
    <t>BOPP Pearlized</t>
  </si>
  <si>
    <t>Pealized</t>
  </si>
  <si>
    <t>BOPP Metalized</t>
  </si>
  <si>
    <t>Normal Grade</t>
  </si>
  <si>
    <t>BOPP Metalized HB</t>
  </si>
  <si>
    <t>High Barrier</t>
  </si>
  <si>
    <t>BOPP Transparent LG</t>
  </si>
  <si>
    <t>Label Grade</t>
  </si>
  <si>
    <t>BOPP White LG</t>
  </si>
  <si>
    <t>Caviated Label Grade 0.62 density</t>
  </si>
  <si>
    <t>BOPP Matte Transparent</t>
  </si>
  <si>
    <t>Matt</t>
  </si>
  <si>
    <t>PET</t>
  </si>
  <si>
    <t>PET Transparent</t>
  </si>
  <si>
    <t>Normal Chemical Treated</t>
  </si>
  <si>
    <t>PET Transparent HR</t>
  </si>
  <si>
    <t>Heat resistanr Chemical Treated</t>
  </si>
  <si>
    <t>PET Metalized</t>
  </si>
  <si>
    <t>Normal</t>
  </si>
  <si>
    <t>PET Metalized HB</t>
  </si>
  <si>
    <t>PET White</t>
  </si>
  <si>
    <t>PET Matte</t>
  </si>
  <si>
    <t>PET Twist Transparent</t>
  </si>
  <si>
    <t>Twist Transparent</t>
  </si>
  <si>
    <t>Twist White</t>
  </si>
  <si>
    <t>PET Twist Methalized</t>
  </si>
  <si>
    <t>Twist Metalazied</t>
  </si>
  <si>
    <t>PE</t>
  </si>
  <si>
    <t>LDPE Natural</t>
  </si>
  <si>
    <t>Form Fill &amp; Seal or Lamination Film</t>
  </si>
  <si>
    <t>LDPE White</t>
  </si>
  <si>
    <t>PE-EVOH</t>
  </si>
  <si>
    <t>Density x Caliper</t>
  </si>
  <si>
    <t>PE Shrink</t>
  </si>
  <si>
    <t>Collation Film</t>
  </si>
  <si>
    <t>PE Shrink PCR</t>
  </si>
  <si>
    <t>Collation Film with 50% PCR</t>
  </si>
  <si>
    <t>CPP</t>
  </si>
  <si>
    <t>CPP Transparent</t>
  </si>
  <si>
    <t>CPP Metalized</t>
  </si>
  <si>
    <t>CPP White</t>
  </si>
  <si>
    <t>CPP Retort</t>
  </si>
  <si>
    <t xml:space="preserve">Retort </t>
  </si>
  <si>
    <t>CPP High Seal Strength</t>
  </si>
  <si>
    <t>PA</t>
  </si>
  <si>
    <t>BOPA Transparent</t>
  </si>
  <si>
    <t>BOPA Transparent HB</t>
  </si>
  <si>
    <t>PA/PE</t>
  </si>
  <si>
    <t>60% PA-40% PE</t>
  </si>
  <si>
    <t>ALU</t>
  </si>
  <si>
    <t>Aluminium Foil</t>
  </si>
  <si>
    <t>Alloy 1235 for Flexible Packaging</t>
  </si>
  <si>
    <t>PAPER</t>
  </si>
  <si>
    <t>Paper White Coated</t>
  </si>
  <si>
    <t>Kraft Paper Brown</t>
  </si>
  <si>
    <t>Kraft Paper White</t>
  </si>
  <si>
    <t>MG Paper</t>
  </si>
  <si>
    <t>GP Paper</t>
  </si>
  <si>
    <t>C1S Paper</t>
  </si>
  <si>
    <t>C2S Paper</t>
  </si>
  <si>
    <t>SLEEVE</t>
  </si>
  <si>
    <t>PVC Shrink</t>
  </si>
  <si>
    <t>Normal Shrink Blown</t>
  </si>
  <si>
    <t>High Shrink Cast</t>
  </si>
  <si>
    <t>PET Shrink</t>
  </si>
  <si>
    <t>High Shrink PETG</t>
  </si>
  <si>
    <t>C PET Shrink</t>
  </si>
  <si>
    <t>High Shrink CPET</t>
  </si>
  <si>
    <t>SPECIALTY</t>
  </si>
  <si>
    <t>7ALu/10PE/30 GP Paper</t>
  </si>
  <si>
    <t>Bouillon Wrap</t>
  </si>
  <si>
    <t>7ALu/10PE/35Paper/12PE</t>
  </si>
  <si>
    <t>Butter Wrap</t>
  </si>
  <si>
    <t>7ALu/10PE/50Paper/12PE</t>
  </si>
  <si>
    <t>test</t>
  </si>
  <si>
    <t>Family</t>
  </si>
  <si>
    <t>Grade</t>
  </si>
  <si>
    <t>Density</t>
  </si>
  <si>
    <t>Solvent Based</t>
  </si>
  <si>
    <t>Common Colors</t>
  </si>
  <si>
    <t>Special Colors</t>
  </si>
  <si>
    <t>Primer</t>
  </si>
  <si>
    <t>Glossy Varnish</t>
  </si>
  <si>
    <t>Matt Varnish</t>
  </si>
  <si>
    <t>Heat Seal</t>
  </si>
  <si>
    <t>Wax</t>
  </si>
  <si>
    <t>Cold Seal</t>
  </si>
  <si>
    <t>UV-LED</t>
  </si>
  <si>
    <t>Solvent Base</t>
  </si>
  <si>
    <t>Solvent Less</t>
  </si>
  <si>
    <t>Mono Component</t>
  </si>
  <si>
    <t>Wraping Film</t>
  </si>
  <si>
    <t>-</t>
  </si>
  <si>
    <t>Pallet</t>
  </si>
  <si>
    <t>Paper Sheet</t>
  </si>
  <si>
    <t>Units</t>
  </si>
  <si>
    <t>Kgs</t>
  </si>
  <si>
    <t>Kpcs</t>
  </si>
  <si>
    <t>SQM</t>
  </si>
  <si>
    <t>LM</t>
  </si>
  <si>
    <t>Roll 500 LM</t>
  </si>
  <si>
    <t>RM Type</t>
  </si>
  <si>
    <t>Substrate</t>
  </si>
  <si>
    <t>Adhesive</t>
  </si>
  <si>
    <t>Packaging</t>
  </si>
  <si>
    <t>Printing Web</t>
  </si>
  <si>
    <t>Ink System</t>
  </si>
  <si>
    <t>Wide Web</t>
  </si>
  <si>
    <t>wide_web</t>
  </si>
  <si>
    <t>Ink SB</t>
  </si>
  <si>
    <t>Narrow Web</t>
  </si>
  <si>
    <t>narrow_web</t>
  </si>
  <si>
    <t>Ink UV</t>
  </si>
  <si>
    <t>Ink &amp; Coating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</si>
</sst>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ubstrates" displayName="tblSubstrates" ref="A1:G48">
  <autoFilter ref="A1:G48" xr:uid="{00000000-0009-0000-0100-000001000000}"/>
  <tableColumns count="7">
    <tableColumn id="1" xr3:uid="{00000000-0010-0000-0000-000001000000}" name="Substrate Family"/>
    <tableColumn id="2" xr3:uid="{00000000-0010-0000-0000-000002000000}" name="Substrate Grade"/>
    <tableColumn id="3" xr3:uid="{00000000-0010-0000-0000-000003000000}" name="Density (g/cm3)"/>
    <tableColumn id="4" xr3:uid="{00000000-0010-0000-0000-000004000000}" name="Solid %"/>
    <tableColumn id="5" xr3:uid="{00000000-0010-0000-0000-000005000000}" name="Hoover"/>
    <tableColumn id="6" xr3:uid="{00000000-0010-0000-0000-000006000000}" name="User Price"/>
    <tableColumn id="7" xr3:uid="{00000000-0010-0000-0000-000007000000}" name="Market Pr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InkCoating" displayName="tblInkCoating" ref="A1:F14">
  <autoFilter ref="A1:F14" xr:uid="{00000000-0009-0000-0100-000002000000}"/>
  <tableColumns count="6">
    <tableColumn id="1" xr3:uid="{00000000-0010-0000-0100-000001000000}" name="Family"/>
    <tableColumn id="2" xr3:uid="{00000000-0010-0000-0100-000002000000}" name="Grade"/>
    <tableColumn id="3" xr3:uid="{00000000-0010-0000-0100-000003000000}" name="Density"/>
    <tableColumn id="4" xr3:uid="{00000000-0010-0000-0100-000004000000}" name="Solid %"/>
    <tableColumn id="5" xr3:uid="{00000000-0010-0000-0100-000005000000}" name="Hoover"/>
    <tableColumn id="6" xr3:uid="{00000000-0010-0000-0100-000006000000}" name="User Pri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Adhesive" displayName="tblAdhesive" ref="A1:F4">
  <autoFilter ref="A1:F4" xr:uid="{00000000-0009-0000-0100-000003000000}"/>
  <tableColumns count="6">
    <tableColumn id="1" xr3:uid="{00000000-0010-0000-0200-000001000000}" name="Family"/>
    <tableColumn id="2" xr3:uid="{00000000-0010-0000-0200-000002000000}" name="Grade"/>
    <tableColumn id="3" xr3:uid="{00000000-0010-0000-0200-000003000000}" name="Density"/>
    <tableColumn id="4" xr3:uid="{00000000-0010-0000-0200-000004000000}" name="Solid %"/>
    <tableColumn id="5" xr3:uid="{00000000-0010-0000-0200-000005000000}" name="Hoover"/>
    <tableColumn id="6" xr3:uid="{00000000-0010-0000-0200-000006000000}" name="User Pri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Packaging" displayName="tblPackaging" ref="A1:F4">
  <autoFilter ref="A1:F4" xr:uid="{00000000-0009-0000-0100-000004000000}"/>
  <tableColumns count="6">
    <tableColumn id="1" xr3:uid="{00000000-0010-0000-0300-000001000000}" name="Family"/>
    <tableColumn id="2" xr3:uid="{00000000-0010-0000-0300-000002000000}" name="Grade"/>
    <tableColumn id="3" xr3:uid="{00000000-0010-0000-0300-000003000000}" name="Density"/>
    <tableColumn id="4" xr3:uid="{00000000-0010-0000-0300-000004000000}" name="Solid %"/>
    <tableColumn id="5" xr3:uid="{00000000-0010-0000-0300-000005000000}" name="Hoover"/>
    <tableColumn id="6" xr3:uid="{00000000-0010-0000-0300-000006000000}" name="User Pri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Units" displayName="tblUnits" ref="A1:A6">
  <autoFilter ref="A1:A6" xr:uid="{00000000-0009-0000-0100-000005000000}"/>
  <tableColumns count="1">
    <tableColumn id="1" xr3:uid="{00000000-0010-0000-0400-000001000000}" name="Unit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Ptypes" displayName="tblPtypes" ref="A1:B4">
  <autoFilter ref="A1:B4" xr:uid="{00000000-0009-0000-0100-000006000000}"/>
  <tableColumns count="2">
    <tableColumn id="1" xr3:uid="{00000000-0010-0000-0500-000001000000}" name="Product Type"/>
    <tableColumn id="2" xr3:uid="{00000000-0010-0000-0500-000002000000}" name="Cod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RMTypes" displayName="tblRMTypes" ref="A1:A5">
  <autoFilter ref="A1:A5" xr:uid="{00000000-0009-0000-0100-000007000000}"/>
  <tableColumns count="1">
    <tableColumn id="1" xr3:uid="{00000000-0010-0000-0600-000001000000}" name="RM Typ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PrintingWeb" displayName="tblPrintingWeb" ref="A1:D3">
  <autoFilter ref="A1:D3" xr:uid="{00000000-0009-0000-0100-000008000000}"/>
  <tableColumns count="4">
    <tableColumn id="1" xr3:uid="{00000000-0010-0000-0700-000001000000}" name="Printing Web"/>
    <tableColumn id="2" xr3:uid="{00000000-0010-0000-0700-000002000000}" name="Code"/>
    <tableColumn id="3" xr3:uid="{00000000-0010-0000-0700-000003000000}" name="Ink System"/>
    <tableColumn id="4" xr3:uid="{00000000-0010-0000-0700-000004000000}" name="Solid 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workbookViewId="0">
      <selection sqref="A1:G1048576"/>
    </sheetView>
  </sheetViews>
  <sheetFormatPr defaultRowHeight="15.75" x14ac:dyDescent="0.25"/>
  <cols>
    <col min="1" max="1" width="17.25" bestFit="1" customWidth="1"/>
    <col min="2" max="2" width="22.125" bestFit="1" customWidth="1"/>
    <col min="3" max="3" width="16.5" bestFit="1" customWidth="1"/>
    <col min="4" max="4" width="9.125" bestFit="1" customWidth="1"/>
    <col min="5" max="5" width="29.625" bestFit="1" customWidth="1"/>
    <col min="6" max="6" width="11.375" bestFit="1" customWidth="1"/>
    <col min="7" max="7" width="13.875" bestFit="1" customWidth="1"/>
  </cols>
  <sheetData>
    <row r="1" spans="1:7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</row>
    <row r="2" spans="1:7" x14ac:dyDescent="0.25">
      <c r="A2" t="s">
        <v>15</v>
      </c>
      <c r="B2" t="s">
        <v>16</v>
      </c>
      <c r="C2">
        <v>0.91</v>
      </c>
      <c r="D2">
        <v>100</v>
      </c>
      <c r="E2" t="str">
        <f>B2</f>
        <v>BOPP Transparent</v>
      </c>
      <c r="F2">
        <v>3</v>
      </c>
    </row>
    <row r="3" spans="1:7" x14ac:dyDescent="0.25">
      <c r="A3" t="s">
        <v>15</v>
      </c>
      <c r="B3" t="s">
        <v>17</v>
      </c>
      <c r="C3">
        <v>0.91</v>
      </c>
      <c r="D3">
        <v>100</v>
      </c>
      <c r="E3" t="s">
        <v>18</v>
      </c>
      <c r="F3">
        <v>2.5</v>
      </c>
    </row>
    <row r="4" spans="1:7" x14ac:dyDescent="0.25">
      <c r="A4" t="s">
        <v>15</v>
      </c>
      <c r="B4" t="s">
        <v>19</v>
      </c>
      <c r="C4">
        <v>0.95</v>
      </c>
      <c r="D4">
        <v>100</v>
      </c>
      <c r="E4" t="s">
        <v>20</v>
      </c>
      <c r="F4">
        <v>2.6</v>
      </c>
    </row>
    <row r="5" spans="1:7" x14ac:dyDescent="0.25">
      <c r="A5" t="s">
        <v>15</v>
      </c>
      <c r="B5" t="s">
        <v>21</v>
      </c>
      <c r="C5">
        <v>0.7</v>
      </c>
      <c r="D5">
        <v>100</v>
      </c>
      <c r="E5" t="s">
        <v>22</v>
      </c>
      <c r="F5">
        <v>2.6</v>
      </c>
    </row>
    <row r="6" spans="1:7" x14ac:dyDescent="0.25">
      <c r="A6" t="s">
        <v>15</v>
      </c>
      <c r="B6" t="s">
        <v>23</v>
      </c>
      <c r="C6">
        <v>0.91</v>
      </c>
      <c r="D6">
        <v>100</v>
      </c>
      <c r="E6" t="s">
        <v>24</v>
      </c>
      <c r="F6">
        <v>2.6</v>
      </c>
    </row>
    <row r="7" spans="1:7" x14ac:dyDescent="0.25">
      <c r="A7" t="s">
        <v>15</v>
      </c>
      <c r="B7" t="s">
        <v>25</v>
      </c>
      <c r="C7">
        <v>0.91</v>
      </c>
      <c r="D7">
        <v>100</v>
      </c>
      <c r="E7" t="s">
        <v>26</v>
      </c>
      <c r="F7">
        <v>4.7</v>
      </c>
    </row>
    <row r="8" spans="1:7" x14ac:dyDescent="0.25">
      <c r="A8" t="s">
        <v>15</v>
      </c>
      <c r="B8" t="s">
        <v>27</v>
      </c>
      <c r="C8">
        <v>0.91</v>
      </c>
      <c r="D8">
        <v>100</v>
      </c>
      <c r="E8" t="s">
        <v>28</v>
      </c>
      <c r="F8">
        <v>2.5</v>
      </c>
    </row>
    <row r="9" spans="1:7" x14ac:dyDescent="0.25">
      <c r="A9" t="s">
        <v>15</v>
      </c>
      <c r="B9" t="s">
        <v>29</v>
      </c>
      <c r="C9">
        <v>0.62</v>
      </c>
      <c r="D9">
        <v>100</v>
      </c>
      <c r="E9" t="s">
        <v>30</v>
      </c>
      <c r="F9">
        <v>2.85</v>
      </c>
    </row>
    <row r="10" spans="1:7" x14ac:dyDescent="0.25">
      <c r="A10" t="s">
        <v>15</v>
      </c>
      <c r="B10" t="s">
        <v>31</v>
      </c>
      <c r="C10">
        <v>0.91</v>
      </c>
      <c r="D10">
        <v>100</v>
      </c>
      <c r="E10" t="s">
        <v>32</v>
      </c>
      <c r="F10">
        <v>2.8</v>
      </c>
    </row>
    <row r="11" spans="1:7" x14ac:dyDescent="0.25">
      <c r="A11" t="s">
        <v>33</v>
      </c>
      <c r="B11" t="s">
        <v>34</v>
      </c>
      <c r="C11">
        <v>1.4</v>
      </c>
      <c r="D11">
        <v>100</v>
      </c>
      <c r="E11" t="s">
        <v>35</v>
      </c>
      <c r="F11">
        <v>2.15</v>
      </c>
    </row>
    <row r="12" spans="1:7" x14ac:dyDescent="0.25">
      <c r="A12" t="s">
        <v>33</v>
      </c>
      <c r="B12" t="s">
        <v>36</v>
      </c>
      <c r="C12">
        <v>1.4</v>
      </c>
      <c r="D12">
        <v>100</v>
      </c>
      <c r="E12" t="s">
        <v>37</v>
      </c>
      <c r="F12">
        <v>2.25</v>
      </c>
    </row>
    <row r="13" spans="1:7" x14ac:dyDescent="0.25">
      <c r="A13" t="s">
        <v>33</v>
      </c>
      <c r="B13" t="s">
        <v>38</v>
      </c>
      <c r="C13">
        <v>1.4</v>
      </c>
      <c r="D13">
        <v>100</v>
      </c>
      <c r="E13" t="s">
        <v>39</v>
      </c>
      <c r="F13">
        <v>2.5</v>
      </c>
    </row>
    <row r="14" spans="1:7" x14ac:dyDescent="0.25">
      <c r="A14" t="s">
        <v>33</v>
      </c>
      <c r="B14" t="s">
        <v>40</v>
      </c>
      <c r="C14">
        <v>1.4</v>
      </c>
      <c r="D14">
        <v>100</v>
      </c>
      <c r="E14" t="s">
        <v>26</v>
      </c>
      <c r="F14">
        <v>2.6</v>
      </c>
    </row>
    <row r="15" spans="1:7" x14ac:dyDescent="0.25">
      <c r="A15" t="s">
        <v>33</v>
      </c>
      <c r="B15" t="s">
        <v>41</v>
      </c>
      <c r="C15">
        <v>1.4</v>
      </c>
      <c r="D15">
        <v>100</v>
      </c>
      <c r="E15" t="s">
        <v>20</v>
      </c>
      <c r="F15">
        <v>2.7</v>
      </c>
    </row>
    <row r="16" spans="1:7" x14ac:dyDescent="0.25">
      <c r="A16" t="s">
        <v>33</v>
      </c>
      <c r="B16" t="s">
        <v>42</v>
      </c>
      <c r="C16">
        <v>1.4</v>
      </c>
      <c r="D16">
        <v>100</v>
      </c>
      <c r="E16" t="s">
        <v>32</v>
      </c>
      <c r="F16">
        <v>2.9</v>
      </c>
    </row>
    <row r="17" spans="1:6" x14ac:dyDescent="0.25">
      <c r="A17" t="s">
        <v>33</v>
      </c>
      <c r="B17" t="s">
        <v>43</v>
      </c>
      <c r="C17">
        <v>1.4</v>
      </c>
      <c r="D17">
        <v>100</v>
      </c>
      <c r="E17" t="s">
        <v>44</v>
      </c>
      <c r="F17">
        <v>2.2999999999999998</v>
      </c>
    </row>
    <row r="18" spans="1:6" x14ac:dyDescent="0.25">
      <c r="A18" t="s">
        <v>33</v>
      </c>
      <c r="B18" t="s">
        <v>43</v>
      </c>
      <c r="C18">
        <v>1.4</v>
      </c>
      <c r="D18">
        <v>100</v>
      </c>
      <c r="E18" t="s">
        <v>45</v>
      </c>
      <c r="F18">
        <v>2.8</v>
      </c>
    </row>
    <row r="19" spans="1:6" x14ac:dyDescent="0.25">
      <c r="A19" t="s">
        <v>33</v>
      </c>
      <c r="B19" t="s">
        <v>46</v>
      </c>
      <c r="C19">
        <v>2.4</v>
      </c>
      <c r="D19">
        <v>100</v>
      </c>
      <c r="E19" t="s">
        <v>47</v>
      </c>
      <c r="F19">
        <v>2.8</v>
      </c>
    </row>
    <row r="20" spans="1:6" x14ac:dyDescent="0.25">
      <c r="A20" t="s">
        <v>48</v>
      </c>
      <c r="B20" t="s">
        <v>49</v>
      </c>
      <c r="C20">
        <v>0.92</v>
      </c>
      <c r="D20">
        <v>100</v>
      </c>
      <c r="E20" t="s">
        <v>50</v>
      </c>
      <c r="F20">
        <v>1.7</v>
      </c>
    </row>
    <row r="21" spans="1:6" x14ac:dyDescent="0.25">
      <c r="A21" t="s">
        <v>48</v>
      </c>
      <c r="B21" t="s">
        <v>51</v>
      </c>
      <c r="C21">
        <v>0.93</v>
      </c>
      <c r="D21">
        <v>100</v>
      </c>
      <c r="E21" t="s">
        <v>50</v>
      </c>
      <c r="F21">
        <v>1.75</v>
      </c>
    </row>
    <row r="22" spans="1:6" x14ac:dyDescent="0.25">
      <c r="A22" t="s">
        <v>48</v>
      </c>
      <c r="B22" t="s">
        <v>52</v>
      </c>
      <c r="C22">
        <v>0.95</v>
      </c>
      <c r="D22">
        <v>100</v>
      </c>
      <c r="E22" t="s">
        <v>53</v>
      </c>
      <c r="F22">
        <v>2.75</v>
      </c>
    </row>
    <row r="23" spans="1:6" x14ac:dyDescent="0.25">
      <c r="A23" t="s">
        <v>48</v>
      </c>
      <c r="B23" t="s">
        <v>54</v>
      </c>
      <c r="C23">
        <v>0.92</v>
      </c>
      <c r="D23">
        <v>100</v>
      </c>
      <c r="E23" t="s">
        <v>55</v>
      </c>
      <c r="F23">
        <v>1.8</v>
      </c>
    </row>
    <row r="24" spans="1:6" x14ac:dyDescent="0.25">
      <c r="A24" t="s">
        <v>48</v>
      </c>
      <c r="B24" t="s">
        <v>56</v>
      </c>
      <c r="C24">
        <v>0.92</v>
      </c>
      <c r="D24">
        <v>100</v>
      </c>
      <c r="E24" t="s">
        <v>57</v>
      </c>
      <c r="F24">
        <v>2.2000000000000002</v>
      </c>
    </row>
    <row r="25" spans="1:6" x14ac:dyDescent="0.25">
      <c r="A25" t="s">
        <v>58</v>
      </c>
      <c r="B25" t="s">
        <v>59</v>
      </c>
      <c r="C25">
        <v>0.9</v>
      </c>
      <c r="D25">
        <v>100</v>
      </c>
      <c r="E25" t="s">
        <v>39</v>
      </c>
      <c r="F25">
        <v>2.1</v>
      </c>
    </row>
    <row r="26" spans="1:6" x14ac:dyDescent="0.25">
      <c r="A26" t="s">
        <v>58</v>
      </c>
      <c r="B26" t="s">
        <v>60</v>
      </c>
      <c r="C26">
        <v>0.9</v>
      </c>
      <c r="D26">
        <v>100</v>
      </c>
      <c r="E26" t="s">
        <v>39</v>
      </c>
      <c r="F26">
        <v>2.4</v>
      </c>
    </row>
    <row r="27" spans="1:6" x14ac:dyDescent="0.25">
      <c r="A27" t="s">
        <v>58</v>
      </c>
      <c r="B27" t="s">
        <v>61</v>
      </c>
      <c r="C27">
        <v>0.92</v>
      </c>
      <c r="D27">
        <v>100</v>
      </c>
      <c r="E27" t="s">
        <v>39</v>
      </c>
      <c r="F27">
        <v>2.5</v>
      </c>
    </row>
    <row r="28" spans="1:6" x14ac:dyDescent="0.25">
      <c r="A28" t="s">
        <v>58</v>
      </c>
      <c r="B28" t="s">
        <v>62</v>
      </c>
      <c r="C28">
        <v>0.9</v>
      </c>
      <c r="D28">
        <v>100</v>
      </c>
      <c r="E28" t="s">
        <v>63</v>
      </c>
      <c r="F28">
        <v>2.5</v>
      </c>
    </row>
    <row r="29" spans="1:6" x14ac:dyDescent="0.25">
      <c r="A29" t="s">
        <v>58</v>
      </c>
      <c r="B29" t="s">
        <v>64</v>
      </c>
      <c r="C29">
        <v>0.9</v>
      </c>
      <c r="D29">
        <v>100</v>
      </c>
      <c r="E29" t="s">
        <v>53</v>
      </c>
      <c r="F29">
        <v>2.2999999999999998</v>
      </c>
    </row>
    <row r="30" spans="1:6" x14ac:dyDescent="0.25">
      <c r="A30" t="s">
        <v>65</v>
      </c>
      <c r="B30" t="s">
        <v>66</v>
      </c>
      <c r="C30">
        <v>1.1499999999999999</v>
      </c>
      <c r="D30">
        <v>100</v>
      </c>
      <c r="E30" t="s">
        <v>39</v>
      </c>
      <c r="F30">
        <v>2.5</v>
      </c>
    </row>
    <row r="31" spans="1:6" x14ac:dyDescent="0.25">
      <c r="A31" t="s">
        <v>65</v>
      </c>
      <c r="B31" t="s">
        <v>67</v>
      </c>
      <c r="C31">
        <v>1.1499999999999999</v>
      </c>
      <c r="D31">
        <v>100</v>
      </c>
      <c r="E31" t="s">
        <v>53</v>
      </c>
      <c r="F31">
        <v>6</v>
      </c>
    </row>
    <row r="32" spans="1:6" x14ac:dyDescent="0.25">
      <c r="A32" t="s">
        <v>65</v>
      </c>
      <c r="B32" t="s">
        <v>68</v>
      </c>
      <c r="C32">
        <v>1.06</v>
      </c>
      <c r="D32">
        <v>100</v>
      </c>
      <c r="E32" t="s">
        <v>69</v>
      </c>
      <c r="F32">
        <v>2.5</v>
      </c>
    </row>
    <row r="33" spans="1:6" x14ac:dyDescent="0.25">
      <c r="A33" t="s">
        <v>70</v>
      </c>
      <c r="B33" t="s">
        <v>71</v>
      </c>
      <c r="C33">
        <v>2.7</v>
      </c>
      <c r="D33">
        <v>100</v>
      </c>
      <c r="E33" t="s">
        <v>72</v>
      </c>
      <c r="F33">
        <v>4.5</v>
      </c>
    </row>
    <row r="34" spans="1:6" x14ac:dyDescent="0.25">
      <c r="A34" t="s">
        <v>73</v>
      </c>
      <c r="B34" t="s">
        <v>74</v>
      </c>
      <c r="C34">
        <v>0.95</v>
      </c>
      <c r="D34">
        <v>100</v>
      </c>
      <c r="E34" t="e">
        <f>#REF!</f>
        <v>#REF!</v>
      </c>
      <c r="F34">
        <v>1.5</v>
      </c>
    </row>
    <row r="35" spans="1:6" x14ac:dyDescent="0.25">
      <c r="A35" t="s">
        <v>73</v>
      </c>
      <c r="B35" t="s">
        <v>75</v>
      </c>
      <c r="C35">
        <v>0.78</v>
      </c>
      <c r="D35">
        <v>100</v>
      </c>
      <c r="E35" t="e">
        <f>#REF!</f>
        <v>#REF!</v>
      </c>
      <c r="F35">
        <v>1.1000000000000001</v>
      </c>
    </row>
    <row r="36" spans="1:6" x14ac:dyDescent="0.25">
      <c r="A36" t="s">
        <v>73</v>
      </c>
      <c r="B36" t="s">
        <v>76</v>
      </c>
      <c r="C36">
        <v>0.82</v>
      </c>
      <c r="D36">
        <v>100</v>
      </c>
      <c r="E36" t="e">
        <f>#REF!</f>
        <v>#REF!</v>
      </c>
      <c r="F36">
        <v>1.3</v>
      </c>
    </row>
    <row r="37" spans="1:6" x14ac:dyDescent="0.25">
      <c r="A37" t="s">
        <v>73</v>
      </c>
      <c r="B37" t="s">
        <v>77</v>
      </c>
      <c r="C37">
        <v>0.95</v>
      </c>
      <c r="D37">
        <v>100</v>
      </c>
      <c r="E37" t="e">
        <f>#REF!</f>
        <v>#REF!</v>
      </c>
      <c r="F37">
        <v>1</v>
      </c>
    </row>
    <row r="38" spans="1:6" x14ac:dyDescent="0.25">
      <c r="A38" t="s">
        <v>73</v>
      </c>
      <c r="B38" t="s">
        <v>78</v>
      </c>
      <c r="C38">
        <v>1.05</v>
      </c>
      <c r="D38">
        <v>100</v>
      </c>
      <c r="E38" t="e">
        <f>#REF!</f>
        <v>#REF!</v>
      </c>
      <c r="F38">
        <v>2</v>
      </c>
    </row>
    <row r="39" spans="1:6" x14ac:dyDescent="0.25">
      <c r="A39" t="s">
        <v>73</v>
      </c>
      <c r="B39" t="s">
        <v>79</v>
      </c>
      <c r="C39">
        <v>0.95</v>
      </c>
      <c r="D39">
        <v>100</v>
      </c>
      <c r="E39" t="e">
        <f>#REF!</f>
        <v>#REF!</v>
      </c>
      <c r="F39">
        <v>1.5</v>
      </c>
    </row>
    <row r="40" spans="1:6" x14ac:dyDescent="0.25">
      <c r="A40" t="s">
        <v>73</v>
      </c>
      <c r="B40" t="s">
        <v>80</v>
      </c>
      <c r="C40">
        <v>1</v>
      </c>
      <c r="D40">
        <v>100</v>
      </c>
      <c r="E40" t="e">
        <f>#REF!</f>
        <v>#REF!</v>
      </c>
      <c r="F40">
        <v>1.4</v>
      </c>
    </row>
    <row r="41" spans="1:6" x14ac:dyDescent="0.25">
      <c r="A41" t="s">
        <v>81</v>
      </c>
      <c r="B41" t="s">
        <v>82</v>
      </c>
      <c r="C41">
        <v>1.35</v>
      </c>
      <c r="D41">
        <v>100</v>
      </c>
      <c r="E41" t="s">
        <v>83</v>
      </c>
      <c r="F41">
        <v>1.5</v>
      </c>
    </row>
    <row r="42" spans="1:6" x14ac:dyDescent="0.25">
      <c r="A42" t="s">
        <v>81</v>
      </c>
      <c r="B42" t="s">
        <v>82</v>
      </c>
      <c r="C42">
        <v>1.35</v>
      </c>
      <c r="D42">
        <v>100</v>
      </c>
      <c r="E42" t="s">
        <v>84</v>
      </c>
      <c r="F42">
        <v>2.5</v>
      </c>
    </row>
    <row r="43" spans="1:6" x14ac:dyDescent="0.25">
      <c r="A43" t="s">
        <v>81</v>
      </c>
      <c r="B43" t="s">
        <v>85</v>
      </c>
      <c r="C43">
        <v>1.32</v>
      </c>
      <c r="D43">
        <v>100</v>
      </c>
      <c r="E43" t="s">
        <v>86</v>
      </c>
      <c r="F43">
        <v>1.9</v>
      </c>
    </row>
    <row r="44" spans="1:6" x14ac:dyDescent="0.25">
      <c r="A44" t="s">
        <v>81</v>
      </c>
      <c r="B44" t="s">
        <v>87</v>
      </c>
      <c r="C44">
        <v>1.32</v>
      </c>
      <c r="D44">
        <v>100</v>
      </c>
      <c r="E44" t="s">
        <v>88</v>
      </c>
      <c r="F44">
        <v>5</v>
      </c>
    </row>
    <row r="45" spans="1:6" x14ac:dyDescent="0.25">
      <c r="A45" t="s">
        <v>89</v>
      </c>
      <c r="B45" t="s">
        <v>90</v>
      </c>
      <c r="C45">
        <v>1.24</v>
      </c>
      <c r="D45">
        <v>100</v>
      </c>
      <c r="E45" t="s">
        <v>91</v>
      </c>
      <c r="F45">
        <v>5</v>
      </c>
    </row>
    <row r="46" spans="1:6" x14ac:dyDescent="0.25">
      <c r="A46" t="s">
        <v>89</v>
      </c>
      <c r="B46" t="s">
        <v>92</v>
      </c>
      <c r="C46">
        <v>1.21</v>
      </c>
      <c r="D46">
        <v>100</v>
      </c>
      <c r="E46" t="s">
        <v>93</v>
      </c>
      <c r="F46">
        <v>4.8</v>
      </c>
    </row>
    <row r="47" spans="1:6" x14ac:dyDescent="0.25">
      <c r="A47" t="s">
        <v>89</v>
      </c>
      <c r="B47" t="s">
        <v>94</v>
      </c>
      <c r="C47">
        <v>1.1299999999999999</v>
      </c>
      <c r="D47">
        <v>100</v>
      </c>
      <c r="E47" t="s">
        <v>93</v>
      </c>
      <c r="F47">
        <v>4.5</v>
      </c>
    </row>
    <row r="48" spans="1:6" x14ac:dyDescent="0.25">
      <c r="A48" t="s">
        <v>89</v>
      </c>
      <c r="B48" t="s">
        <v>95</v>
      </c>
      <c r="C48">
        <v>2.13</v>
      </c>
      <c r="D48">
        <v>100</v>
      </c>
      <c r="E48" t="s">
        <v>93</v>
      </c>
      <c r="F48">
        <v>5.5</v>
      </c>
    </row>
  </sheetData>
  <pageMargins left="0.75" right="0.75" top="1" bottom="1" header="0.511811023622047" footer="0.511811023622047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>
      <selection activeCell="K33" sqref="K33"/>
    </sheetView>
  </sheetViews>
  <sheetFormatPr defaultRowHeight="15.75" x14ac:dyDescent="0.25"/>
  <cols>
    <col min="1" max="1" width="12.25" bestFit="1" customWidth="1"/>
    <col min="2" max="2" width="13.75" bestFit="1" customWidth="1"/>
    <col min="3" max="3" width="9.25" bestFit="1" customWidth="1"/>
    <col min="4" max="4" width="9.125" bestFit="1" customWidth="1"/>
    <col min="5" max="5" width="13.75" bestFit="1" customWidth="1"/>
    <col min="6" max="6" width="11.375" bestFit="1" customWidth="1"/>
  </cols>
  <sheetData>
    <row r="1" spans="1:6" x14ac:dyDescent="0.25">
      <c r="A1" t="s">
        <v>96</v>
      </c>
      <c r="B1" t="s">
        <v>97</v>
      </c>
      <c r="C1" t="s">
        <v>98</v>
      </c>
      <c r="D1" t="s">
        <v>11</v>
      </c>
      <c r="E1" t="s">
        <v>12</v>
      </c>
      <c r="F1" t="s">
        <v>13</v>
      </c>
    </row>
    <row r="2" spans="1:6" x14ac:dyDescent="0.25">
      <c r="A2" t="s">
        <v>99</v>
      </c>
      <c r="B2" t="s">
        <v>100</v>
      </c>
      <c r="C2">
        <v>1</v>
      </c>
      <c r="D2">
        <v>100</v>
      </c>
      <c r="E2" t="str">
        <f t="shared" ref="E2:E14" si="0">B2</f>
        <v>Common Colors</v>
      </c>
    </row>
    <row r="3" spans="1:6" x14ac:dyDescent="0.25">
      <c r="A3" t="s">
        <v>99</v>
      </c>
      <c r="B3" t="s">
        <v>101</v>
      </c>
      <c r="C3">
        <v>1</v>
      </c>
      <c r="D3">
        <v>100</v>
      </c>
      <c r="E3" t="str">
        <f t="shared" si="0"/>
        <v>Special Colors</v>
      </c>
    </row>
    <row r="4" spans="1:6" x14ac:dyDescent="0.25">
      <c r="A4" t="s">
        <v>99</v>
      </c>
      <c r="B4" t="s">
        <v>102</v>
      </c>
      <c r="C4">
        <v>1</v>
      </c>
      <c r="D4">
        <v>100</v>
      </c>
      <c r="E4" t="str">
        <f t="shared" si="0"/>
        <v>Primer</v>
      </c>
    </row>
    <row r="5" spans="1:6" x14ac:dyDescent="0.25">
      <c r="A5" t="s">
        <v>99</v>
      </c>
      <c r="B5" t="s">
        <v>103</v>
      </c>
      <c r="C5">
        <v>1</v>
      </c>
      <c r="D5">
        <v>100</v>
      </c>
      <c r="E5" t="str">
        <f t="shared" si="0"/>
        <v>Glossy Varnish</v>
      </c>
    </row>
    <row r="6" spans="1:6" x14ac:dyDescent="0.25">
      <c r="A6" t="s">
        <v>99</v>
      </c>
      <c r="B6" t="s">
        <v>104</v>
      </c>
      <c r="C6">
        <v>1</v>
      </c>
      <c r="D6">
        <v>100</v>
      </c>
      <c r="E6" t="str">
        <f t="shared" si="0"/>
        <v>Matt Varnish</v>
      </c>
    </row>
    <row r="7" spans="1:6" x14ac:dyDescent="0.25">
      <c r="A7" t="s">
        <v>99</v>
      </c>
      <c r="B7" t="s">
        <v>105</v>
      </c>
      <c r="C7">
        <v>1</v>
      </c>
      <c r="D7">
        <v>100</v>
      </c>
      <c r="E7" t="str">
        <f t="shared" si="0"/>
        <v>Heat Seal</v>
      </c>
    </row>
    <row r="8" spans="1:6" x14ac:dyDescent="0.25">
      <c r="A8" t="s">
        <v>99</v>
      </c>
      <c r="B8" t="s">
        <v>106</v>
      </c>
      <c r="C8">
        <v>1</v>
      </c>
      <c r="D8">
        <v>100</v>
      </c>
      <c r="E8" t="str">
        <f t="shared" si="0"/>
        <v>Wax</v>
      </c>
    </row>
    <row r="9" spans="1:6" x14ac:dyDescent="0.25">
      <c r="A9" t="s">
        <v>99</v>
      </c>
      <c r="B9" t="s">
        <v>107</v>
      </c>
      <c r="C9">
        <v>1</v>
      </c>
      <c r="D9">
        <v>100</v>
      </c>
      <c r="E9" t="str">
        <f t="shared" si="0"/>
        <v>Cold Seal</v>
      </c>
    </row>
    <row r="10" spans="1:6" x14ac:dyDescent="0.25">
      <c r="A10" t="s">
        <v>108</v>
      </c>
      <c r="B10" t="s">
        <v>100</v>
      </c>
      <c r="C10">
        <v>1</v>
      </c>
      <c r="D10">
        <v>100</v>
      </c>
      <c r="E10" t="str">
        <f t="shared" si="0"/>
        <v>Common Colors</v>
      </c>
    </row>
    <row r="11" spans="1:6" x14ac:dyDescent="0.25">
      <c r="A11" t="s">
        <v>108</v>
      </c>
      <c r="B11" t="s">
        <v>101</v>
      </c>
      <c r="C11">
        <v>1</v>
      </c>
      <c r="D11">
        <v>100</v>
      </c>
      <c r="E11" t="str">
        <f t="shared" si="0"/>
        <v>Special Colors</v>
      </c>
    </row>
    <row r="12" spans="1:6" x14ac:dyDescent="0.25">
      <c r="A12" t="s">
        <v>108</v>
      </c>
      <c r="B12" t="s">
        <v>102</v>
      </c>
      <c r="C12">
        <v>1</v>
      </c>
      <c r="D12">
        <v>100</v>
      </c>
      <c r="E12" t="str">
        <f t="shared" si="0"/>
        <v>Primer</v>
      </c>
    </row>
    <row r="13" spans="1:6" x14ac:dyDescent="0.25">
      <c r="A13" t="s">
        <v>108</v>
      </c>
      <c r="B13" t="s">
        <v>103</v>
      </c>
      <c r="C13">
        <v>1</v>
      </c>
      <c r="D13">
        <v>100</v>
      </c>
      <c r="E13" t="str">
        <f t="shared" si="0"/>
        <v>Glossy Varnish</v>
      </c>
    </row>
    <row r="14" spans="1:6" x14ac:dyDescent="0.25">
      <c r="A14" t="s">
        <v>108</v>
      </c>
      <c r="B14" t="s">
        <v>104</v>
      </c>
      <c r="C14">
        <v>1</v>
      </c>
      <c r="D14">
        <v>100</v>
      </c>
      <c r="E14" t="str">
        <f t="shared" si="0"/>
        <v>Matt Varnish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/>
  </sheetViews>
  <sheetFormatPr defaultRowHeight="15.75" x14ac:dyDescent="0.25"/>
  <sheetData>
    <row r="1" spans="1:6" x14ac:dyDescent="0.25">
      <c r="A1" t="s">
        <v>96</v>
      </c>
      <c r="B1" t="s">
        <v>97</v>
      </c>
      <c r="C1" t="s">
        <v>98</v>
      </c>
      <c r="D1" t="s">
        <v>11</v>
      </c>
      <c r="E1" t="s">
        <v>12</v>
      </c>
      <c r="F1" t="s">
        <v>13</v>
      </c>
    </row>
    <row r="2" spans="1:6" x14ac:dyDescent="0.25">
      <c r="A2" t="s">
        <v>109</v>
      </c>
      <c r="B2" t="s">
        <v>109</v>
      </c>
      <c r="C2">
        <v>1</v>
      </c>
      <c r="D2">
        <v>100</v>
      </c>
      <c r="E2" t="str">
        <f>B2</f>
        <v>Solvent Base</v>
      </c>
    </row>
    <row r="3" spans="1:6" x14ac:dyDescent="0.25">
      <c r="A3" t="s">
        <v>110</v>
      </c>
      <c r="B3" t="s">
        <v>110</v>
      </c>
      <c r="C3">
        <v>1</v>
      </c>
      <c r="D3">
        <v>100</v>
      </c>
      <c r="E3" t="str">
        <f>B3</f>
        <v>Solvent Less</v>
      </c>
    </row>
    <row r="4" spans="1:6" x14ac:dyDescent="0.25">
      <c r="A4" t="s">
        <v>111</v>
      </c>
      <c r="B4" t="s">
        <v>111</v>
      </c>
      <c r="C4">
        <v>1</v>
      </c>
      <c r="D4">
        <v>100</v>
      </c>
      <c r="E4" t="str">
        <f>B4</f>
        <v>Mono Component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/>
  </sheetViews>
  <sheetFormatPr defaultRowHeight="15.75" x14ac:dyDescent="0.25"/>
  <sheetData>
    <row r="1" spans="1:6" x14ac:dyDescent="0.25">
      <c r="A1" t="s">
        <v>96</v>
      </c>
      <c r="B1" t="s">
        <v>97</v>
      </c>
      <c r="C1" t="s">
        <v>98</v>
      </c>
      <c r="D1" t="s">
        <v>11</v>
      </c>
      <c r="E1" t="s">
        <v>12</v>
      </c>
      <c r="F1" t="s">
        <v>13</v>
      </c>
    </row>
    <row r="2" spans="1:6" x14ac:dyDescent="0.25">
      <c r="A2" t="s">
        <v>112</v>
      </c>
      <c r="B2" t="s">
        <v>112</v>
      </c>
      <c r="C2" t="s">
        <v>113</v>
      </c>
      <c r="D2" t="s">
        <v>113</v>
      </c>
      <c r="E2" t="str">
        <f>B2</f>
        <v>Wraping Film</v>
      </c>
    </row>
    <row r="3" spans="1:6" x14ac:dyDescent="0.25">
      <c r="A3" t="s">
        <v>114</v>
      </c>
      <c r="B3" t="s">
        <v>114</v>
      </c>
      <c r="C3" t="s">
        <v>113</v>
      </c>
      <c r="D3" t="s">
        <v>113</v>
      </c>
      <c r="E3" t="str">
        <f>B3</f>
        <v>Pallet</v>
      </c>
    </row>
    <row r="4" spans="1:6" x14ac:dyDescent="0.25">
      <c r="A4" t="s">
        <v>115</v>
      </c>
      <c r="B4" t="s">
        <v>115</v>
      </c>
      <c r="C4" t="s">
        <v>113</v>
      </c>
      <c r="D4" t="s">
        <v>113</v>
      </c>
      <c r="E4" t="str">
        <f>B4</f>
        <v>Paper Sheet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6"/>
  <sheetViews>
    <sheetView workbookViewId="0"/>
  </sheetViews>
  <sheetFormatPr defaultRowHeight="15.75" x14ac:dyDescent="0.25"/>
  <sheetData>
    <row r="1" spans="1:1" x14ac:dyDescent="0.25">
      <c r="A1" t="s">
        <v>116</v>
      </c>
    </row>
    <row r="2" spans="1:1" x14ac:dyDescent="0.25">
      <c r="A2" t="s">
        <v>117</v>
      </c>
    </row>
    <row r="3" spans="1:1" x14ac:dyDescent="0.25">
      <c r="A3" t="s">
        <v>118</v>
      </c>
    </row>
    <row r="4" spans="1:1" x14ac:dyDescent="0.25">
      <c r="A4" t="s">
        <v>119</v>
      </c>
    </row>
    <row r="5" spans="1:1" x14ac:dyDescent="0.25">
      <c r="A5" t="s">
        <v>120</v>
      </c>
    </row>
    <row r="6" spans="1:1" x14ac:dyDescent="0.25">
      <c r="A6" t="s">
        <v>121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selection activeCell="E12" sqref="E12"/>
    </sheetView>
  </sheetViews>
  <sheetFormatPr defaultRowHeight="15.75" x14ac:dyDescent="0.25"/>
  <cols>
    <col min="1" max="1" width="14.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5"/>
  <sheetViews>
    <sheetView tabSelected="1" workbookViewId="0">
      <selection activeCell="D6" sqref="D6"/>
    </sheetView>
  </sheetViews>
  <sheetFormatPr defaultRowHeight="15.75" x14ac:dyDescent="0.25"/>
  <cols>
    <col min="1" max="1" width="11.875" bestFit="1" customWidth="1"/>
  </cols>
  <sheetData>
    <row r="1" spans="1:1" x14ac:dyDescent="0.25">
      <c r="A1" t="s">
        <v>122</v>
      </c>
    </row>
    <row r="2" spans="1:1" x14ac:dyDescent="0.25">
      <c r="A2" t="s">
        <v>123</v>
      </c>
    </row>
    <row r="3" spans="1:1" x14ac:dyDescent="0.25">
      <c r="A3" t="s">
        <v>134</v>
      </c>
    </row>
    <row r="4" spans="1:1" x14ac:dyDescent="0.25">
      <c r="A4" t="s">
        <v>124</v>
      </c>
    </row>
    <row r="5" spans="1:1" x14ac:dyDescent="0.25">
      <c r="A5" t="s">
        <v>125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"/>
  <sheetViews>
    <sheetView workbookViewId="0"/>
  </sheetViews>
  <sheetFormatPr defaultRowHeight="15.75" x14ac:dyDescent="0.25"/>
  <cols>
    <col min="1" max="1" width="14.25" bestFit="1" customWidth="1"/>
    <col min="2" max="2" width="10.875" bestFit="1" customWidth="1"/>
  </cols>
  <sheetData>
    <row r="1" spans="1:4" x14ac:dyDescent="0.25">
      <c r="A1" t="s">
        <v>126</v>
      </c>
      <c r="B1" t="s">
        <v>1</v>
      </c>
      <c r="C1" t="s">
        <v>127</v>
      </c>
      <c r="D1" t="s">
        <v>11</v>
      </c>
    </row>
    <row r="2" spans="1:4" x14ac:dyDescent="0.25">
      <c r="A2" t="s">
        <v>128</v>
      </c>
      <c r="B2" t="s">
        <v>129</v>
      </c>
      <c r="C2" t="s">
        <v>130</v>
      </c>
      <c r="D2">
        <v>30</v>
      </c>
    </row>
    <row r="3" spans="1:4" x14ac:dyDescent="0.25">
      <c r="A3" t="s">
        <v>131</v>
      </c>
      <c r="B3" t="s">
        <v>132</v>
      </c>
      <c r="C3" t="s">
        <v>133</v>
      </c>
      <c r="D3">
        <v>100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Substrate</vt:lpstr>
      <vt:lpstr>Ink &amp; Coating</vt:lpstr>
      <vt:lpstr>Adhesive</vt:lpstr>
      <vt:lpstr>Packaging</vt:lpstr>
      <vt:lpstr>Unit</vt:lpstr>
      <vt:lpstr>PT</vt:lpstr>
      <vt:lpstr>RM Type</vt:lpstr>
      <vt:lpstr>Printing Web</vt:lpstr>
      <vt:lpstr>Adhesive</vt:lpstr>
      <vt:lpstr>BOPP_Transparent</vt:lpstr>
      <vt:lpstr>InkCoating</vt:lpstr>
      <vt:lpstr>Packaging</vt:lpstr>
      <vt:lpstr>PrintingWeb</vt:lpstr>
      <vt:lpstr>Ptypes</vt:lpstr>
      <vt:lpstr>SubstrateFamily</vt:lpstr>
      <vt:lpstr>Type</vt:lpstr>
      <vt:lpstr>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Salloum : IP-PMD-MGT</dc:creator>
  <cp:lastModifiedBy>Camille Salloum : IP-PMD-MGT</cp:lastModifiedBy>
  <dcterms:created xsi:type="dcterms:W3CDTF">2026-06-19T10:38:58Z</dcterms:created>
  <dcterms:modified xsi:type="dcterms:W3CDTF">2026-06-20T11:28:45Z</dcterms:modified>
</cp:coreProperties>
</file>