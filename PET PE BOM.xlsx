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PackHub\apps\estimation-studio\"/>
    </mc:Choice>
  </mc:AlternateContent>
  <xr:revisionPtr revIDLastSave="0" documentId="13_ncr:1_{30FDEC3F-F4CA-40CC-861B-B8C4731D5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8" i="1"/>
  <c r="H10" i="1"/>
  <c r="E10" i="1"/>
  <c r="B9" i="1"/>
  <c r="F7" i="1"/>
  <c r="G7" i="1" s="1"/>
  <c r="F8" i="1" l="1"/>
  <c r="G8" i="1" s="1"/>
  <c r="F9" i="1"/>
  <c r="G9" i="1" s="1"/>
</calcChain>
</file>

<file path=xl/sharedStrings.xml><?xml version="1.0" encoding="utf-8"?>
<sst xmlns="http://schemas.openxmlformats.org/spreadsheetml/2006/main" count="23" uniqueCount="17">
  <si>
    <t>MOZAMBIQUE - AYAN TRADING - Martina 2 Kg</t>
  </si>
  <si>
    <t xml:space="preserve">BOM for 100 Kgs, (488 X 320.75 X 12+75µ) F/W 1000 mm </t>
  </si>
  <si>
    <t>100 Kgs</t>
  </si>
  <si>
    <t>PET TR film 12µ</t>
  </si>
  <si>
    <t>Kgs</t>
  </si>
  <si>
    <t>LDPE TR film 75µ</t>
  </si>
  <si>
    <t>Ink</t>
  </si>
  <si>
    <t>Solvent</t>
  </si>
  <si>
    <t>Adhesive (SL)</t>
  </si>
  <si>
    <t>Printing</t>
  </si>
  <si>
    <t>Minutes</t>
  </si>
  <si>
    <t xml:space="preserve">Lamination </t>
  </si>
  <si>
    <t>Slitting</t>
  </si>
  <si>
    <t>Conversion</t>
  </si>
  <si>
    <t>LDPE</t>
  </si>
  <si>
    <t>PET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</si>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</sst>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K7" sqref="K7"/>
    </sheetView>
  </sheetViews>
  <sheetFormatPr defaultRowHeight="14.4" x14ac:dyDescent="0.3"/>
  <cols>
    <col min="1" max="1" width="48.33203125" bestFit="1" customWidth="1"/>
    <col min="3" max="3" width="10.6640625" bestFit="1" customWidth="1"/>
  </cols>
  <sheetData>
    <row r="1" spans="1:8" x14ac:dyDescent="0.3">
      <c r="B1" s="1"/>
    </row>
    <row r="3" spans="1:8" x14ac:dyDescent="0.3">
      <c r="A3" t="s">
        <v>0</v>
      </c>
    </row>
    <row r="4" spans="1:8" x14ac:dyDescent="0.3">
      <c r="A4" t="s">
        <v>1</v>
      </c>
    </row>
    <row r="5" spans="1:8" x14ac:dyDescent="0.3">
      <c r="B5" s="2" t="s">
        <v>2</v>
      </c>
    </row>
    <row r="6" spans="1:8" x14ac:dyDescent="0.3">
      <c r="A6" t="s">
        <v>3</v>
      </c>
      <c r="B6" s="3">
        <v>21</v>
      </c>
      <c r="C6" t="s">
        <v>4</v>
      </c>
    </row>
    <row r="7" spans="1:8" x14ac:dyDescent="0.3">
      <c r="A7" t="s">
        <v>5</v>
      </c>
      <c r="B7" s="3">
        <v>85</v>
      </c>
      <c r="C7" t="s">
        <v>4</v>
      </c>
      <c r="F7">
        <f>0.12*0.116*0.102</f>
        <v>1.4198399999999999E-3</v>
      </c>
      <c r="G7">
        <f>F7*1000</f>
        <v>1.41984</v>
      </c>
    </row>
    <row r="8" spans="1:8" x14ac:dyDescent="0.3">
      <c r="A8" t="s">
        <v>6</v>
      </c>
      <c r="B8" s="3">
        <v>7</v>
      </c>
      <c r="C8" t="s">
        <v>4</v>
      </c>
      <c r="D8" t="s">
        <v>14</v>
      </c>
      <c r="E8">
        <f>75*0.92</f>
        <v>69</v>
      </c>
      <c r="F8">
        <f>100/E10*E8</f>
        <v>80.419580419580427</v>
      </c>
      <c r="G8">
        <f>F8/976*1000</f>
        <v>82.397111085635686</v>
      </c>
      <c r="H8">
        <v>85</v>
      </c>
    </row>
    <row r="9" spans="1:8" x14ac:dyDescent="0.3">
      <c r="A9" t="s">
        <v>7</v>
      </c>
      <c r="B9" s="3">
        <f>B8*2</f>
        <v>14</v>
      </c>
      <c r="C9" t="s">
        <v>4</v>
      </c>
      <c r="D9" t="s">
        <v>15</v>
      </c>
      <c r="E9">
        <v>16.8</v>
      </c>
      <c r="F9">
        <f>100/E10*E9</f>
        <v>19.580419580419584</v>
      </c>
      <c r="G9">
        <f>+F9/976*1000</f>
        <v>20.061905307806953</v>
      </c>
      <c r="H9">
        <v>21</v>
      </c>
    </row>
    <row r="10" spans="1:8" x14ac:dyDescent="0.3">
      <c r="A10" t="s">
        <v>8</v>
      </c>
      <c r="B10" s="3">
        <v>3</v>
      </c>
      <c r="C10" t="s">
        <v>4</v>
      </c>
      <c r="D10" t="s">
        <v>16</v>
      </c>
      <c r="E10">
        <f>SUM(E8:E9)</f>
        <v>85.8</v>
      </c>
      <c r="H10">
        <f>SUM(H8:H9)</f>
        <v>106</v>
      </c>
    </row>
    <row r="11" spans="1:8" x14ac:dyDescent="0.3">
      <c r="A11" t="s">
        <v>9</v>
      </c>
      <c r="B11" s="3">
        <v>15</v>
      </c>
      <c r="C11" t="s">
        <v>10</v>
      </c>
      <c r="E11">
        <v>1</v>
      </c>
    </row>
    <row r="12" spans="1:8" x14ac:dyDescent="0.3">
      <c r="A12" t="s">
        <v>11</v>
      </c>
      <c r="B12" s="3">
        <v>10</v>
      </c>
      <c r="C12" t="s">
        <v>10</v>
      </c>
      <c r="E12">
        <v>1.4</v>
      </c>
    </row>
    <row r="13" spans="1:8" x14ac:dyDescent="0.3">
      <c r="A13" t="s">
        <v>12</v>
      </c>
      <c r="B13" s="3">
        <v>15</v>
      </c>
      <c r="C13" t="s">
        <v>10</v>
      </c>
      <c r="E13">
        <f>SUM(E10:E12)</f>
        <v>88.2</v>
      </c>
    </row>
    <row r="16" spans="1:8" x14ac:dyDescent="0.3">
      <c r="A16" t="s">
        <v>13</v>
      </c>
      <c r="B16" s="4">
        <v>1</v>
      </c>
    </row>
    <row r="17" spans="2:2" x14ac:dyDescent="0.3">
      <c r="B17" s="4"/>
    </row>
    <row r="18" spans="2:2" x14ac:dyDescent="0.3">
      <c r="B18" s="4"/>
    </row>
    <row r="19" spans="2:2" x14ac:dyDescent="0.3">
      <c r="B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Varikuppala : IP-FP-PRD</dc:creator>
  <cp:lastModifiedBy>Camille Salloum : IP-PMD-MGT</cp:lastModifiedBy>
  <dcterms:created xsi:type="dcterms:W3CDTF">2015-06-05T18:17:20Z</dcterms:created>
  <dcterms:modified xsi:type="dcterms:W3CDTF">2026-07-08T04:11:02Z</dcterms:modified>
</cp:coreProperties>
</file>