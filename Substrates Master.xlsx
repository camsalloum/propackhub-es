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PackHub\apps\estimation-studio\"/>
    </mc:Choice>
  </mc:AlternateContent>
  <xr:revisionPtr revIDLastSave="0" documentId="13_ncr:1_{DB9C27B7-775F-427F-AF5A-E2452AB7CBBD}" xr6:coauthVersionLast="47" xr6:coauthVersionMax="47" xr10:uidLastSave="{00000000-0000-0000-0000-000000000000}"/>
  <bookViews>
    <workbookView xWindow="3120" yWindow="3120" windowWidth="21600" windowHeight="11295" xr2:uid="{6615B560-C438-4DD7-A768-84B0510674C9}"/>
  </bookViews>
  <sheets>
    <sheet name="Substrate Costing Master" sheetId="1" r:id="rId1"/>
  </sheets>
  <externalReferences>
    <externalReference r:id="rId2"/>
  </externalReferences>
  <definedNames>
    <definedName name="_xlnm._FilterDatabase" localSheetId="0" hidden="1">'Substrate Costing Master'!$A$1:$F$47</definedName>
    <definedName name="Adhesive">[1]!A[Adhesive]</definedName>
    <definedName name="Ink">[1]!Table4[Ink]</definedName>
    <definedName name="Nb_Ups_Sleeve">[1]Sleeve!$G$17</definedName>
    <definedName name="OQKG">[1]Sleeve!$I$36</definedName>
    <definedName name="OQM">[1]Sleeve!$I$38</definedName>
    <definedName name="Packaging">[1]!A[Packaging]</definedName>
    <definedName name="Ptypes">[1]!PTypeT[Product Type]</definedName>
    <definedName name="Substrate">[1]!Table3[Substrate]</definedName>
    <definedName name="Substrates">[1]!Table3[Substrate]</definedName>
    <definedName name="Type">[1]!T[Material Type]</definedName>
    <definedName name="Unit">[1]!UT[Units]</definedName>
    <definedName name="UnitsDD">[1]Sleeve!$K$5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5" i="1" l="1"/>
  <c r="D36" i="1"/>
  <c r="D37" i="1"/>
  <c r="D38" i="1"/>
  <c r="D39" i="1"/>
  <c r="D40" i="1"/>
  <c r="D34" i="1"/>
  <c r="D2" i="1" l="1"/>
</calcChain>
</file>

<file path=xl/sharedStrings.xml><?xml version="1.0" encoding="utf-8"?>
<sst xmlns="http://schemas.openxmlformats.org/spreadsheetml/2006/main" count="136" uniqueCount="86">
  <si>
    <t>Substrate Family</t>
  </si>
  <si>
    <t>Substrate Grade</t>
  </si>
  <si>
    <t>Density (g/cm3)</t>
  </si>
  <si>
    <t>Hoover</t>
  </si>
  <si>
    <t>User Price</t>
  </si>
  <si>
    <t xml:space="preserve">Market Price </t>
  </si>
  <si>
    <t>BOPP</t>
  </si>
  <si>
    <t>BOPP Transparent</t>
  </si>
  <si>
    <t>BOPP Transparent HR</t>
  </si>
  <si>
    <t>Heat Resitant</t>
  </si>
  <si>
    <t>BOPP White Opaque</t>
  </si>
  <si>
    <t>Opaque White</t>
  </si>
  <si>
    <t>BOPP Pearlized</t>
  </si>
  <si>
    <t>Pealized</t>
  </si>
  <si>
    <t>BOPP Metalized</t>
  </si>
  <si>
    <t>Normal Grade</t>
  </si>
  <si>
    <t>BOPP Metalized HB</t>
  </si>
  <si>
    <t>High Barrier</t>
  </si>
  <si>
    <t>BOPP Transparent LG</t>
  </si>
  <si>
    <t>BOPP White LG</t>
  </si>
  <si>
    <t>Caviated Label Grade 0.62 density</t>
  </si>
  <si>
    <t>BOPP Matte Transparent</t>
  </si>
  <si>
    <t>Matt</t>
  </si>
  <si>
    <t>PET</t>
  </si>
  <si>
    <t>PET Transparent</t>
  </si>
  <si>
    <t>Normal Chemical Treated</t>
  </si>
  <si>
    <t>PET Transparent HR</t>
  </si>
  <si>
    <t>Heat resistanr Chemical Treated</t>
  </si>
  <si>
    <t>PET Metalized</t>
  </si>
  <si>
    <t>Normal</t>
  </si>
  <si>
    <t>PET Metalized HB</t>
  </si>
  <si>
    <t>PET White</t>
  </si>
  <si>
    <t>PET Matte</t>
  </si>
  <si>
    <t>PET Twist Transparent</t>
  </si>
  <si>
    <t>Twist Transparent</t>
  </si>
  <si>
    <t>Twist White</t>
  </si>
  <si>
    <t>PE</t>
  </si>
  <si>
    <t>LDPE Natural</t>
  </si>
  <si>
    <t>Form Fill &amp; Seal or Lamination Film</t>
  </si>
  <si>
    <t>LDPE White</t>
  </si>
  <si>
    <t>PE-EVOH</t>
  </si>
  <si>
    <t>Density x Caliper</t>
  </si>
  <si>
    <t>PE Shrink</t>
  </si>
  <si>
    <t>Collation Film</t>
  </si>
  <si>
    <t>PE Shrink PCR</t>
  </si>
  <si>
    <t>Collation Film with 50% PCR</t>
  </si>
  <si>
    <t>CPP</t>
  </si>
  <si>
    <t>CPP Transparent</t>
  </si>
  <si>
    <t>CPP Metalized</t>
  </si>
  <si>
    <t>CPP White</t>
  </si>
  <si>
    <t>CPP Retort</t>
  </si>
  <si>
    <t xml:space="preserve">Retort </t>
  </si>
  <si>
    <t>CPP High Seal Strength</t>
  </si>
  <si>
    <t>PA</t>
  </si>
  <si>
    <t>BOPA Transparent</t>
  </si>
  <si>
    <t>BOPA Transparent HB</t>
  </si>
  <si>
    <t>PA/PE</t>
  </si>
  <si>
    <t>60% PA-40% PE</t>
  </si>
  <si>
    <t>ALU</t>
  </si>
  <si>
    <t>Aluminium Foil</t>
  </si>
  <si>
    <t>Alloy 1235 for Flexible Packaging</t>
  </si>
  <si>
    <t>PAPER</t>
  </si>
  <si>
    <t>Paper White Coated</t>
  </si>
  <si>
    <t>Kraft Paper Brown</t>
  </si>
  <si>
    <t>Kraft Paper White</t>
  </si>
  <si>
    <t>MG Paper</t>
  </si>
  <si>
    <t>GP Paper</t>
  </si>
  <si>
    <t>C1S Paper</t>
  </si>
  <si>
    <t>C2S Paper</t>
  </si>
  <si>
    <t>SLEEVE</t>
  </si>
  <si>
    <t>PVC Shrink</t>
  </si>
  <si>
    <t>Normal Shrink Blown</t>
  </si>
  <si>
    <t>High Shrink Cast</t>
  </si>
  <si>
    <t>PET Shrink</t>
  </si>
  <si>
    <t>High Shrink PETG</t>
  </si>
  <si>
    <t>C PET Shrink</t>
  </si>
  <si>
    <t>High Shrink CPET</t>
  </si>
  <si>
    <t>SPECIALTY</t>
  </si>
  <si>
    <t>7ALu/10PE/30 GP Paper</t>
  </si>
  <si>
    <t>Bouillon Wrap</t>
  </si>
  <si>
    <t>7ALu/10PE/35Paper/12PE</t>
  </si>
  <si>
    <t>Butter Wrap</t>
  </si>
  <si>
    <t>7ALu/10PE/50Paper/12PE</t>
  </si>
  <si>
    <t>Label Grade</t>
  </si>
  <si>
    <t>PET Twist Methalized</t>
  </si>
  <si>
    <t>Twist Metalazied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</si>
</sst>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0.0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  <charset val="1"/>
    </font>
    <font>
      <b/>
      <sz val="10"/>
      <color rgb="FFFFFFFF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0">
    <border>
      <left/>
      <right/>
      <top/>
      <bottom/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/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0" fontId="2" fillId="2" borderId="3" xfId="1" applyFont="1" applyFill="1" applyBorder="1" applyAlignment="1">
      <alignment horizontal="center" vertical="center" wrapText="1"/>
    </xf>
    <xf numFmtId="0" fontId="1" fillId="0" borderId="0" xfId="1"/>
    <xf numFmtId="0" fontId="3" fillId="0" borderId="4" xfId="1" applyFont="1" applyBorder="1"/>
    <xf numFmtId="0" fontId="3" fillId="0" borderId="5" xfId="1" applyFont="1" applyBorder="1"/>
    <xf numFmtId="2" fontId="3" fillId="0" borderId="5" xfId="1" applyNumberFormat="1" applyFont="1" applyBorder="1"/>
    <xf numFmtId="164" fontId="3" fillId="0" borderId="5" xfId="1" applyNumberFormat="1" applyFont="1" applyBorder="1"/>
    <xf numFmtId="164" fontId="3" fillId="0" borderId="6" xfId="1" applyNumberFormat="1" applyFont="1" applyBorder="1"/>
    <xf numFmtId="0" fontId="3" fillId="0" borderId="7" xfId="1" applyFont="1" applyBorder="1"/>
    <xf numFmtId="0" fontId="3" fillId="0" borderId="8" xfId="1" applyFont="1" applyBorder="1"/>
    <xf numFmtId="2" fontId="3" fillId="0" borderId="8" xfId="1" applyNumberFormat="1" applyFont="1" applyBorder="1"/>
    <xf numFmtId="164" fontId="3" fillId="0" borderId="8" xfId="1" applyNumberFormat="1" applyFont="1" applyBorder="1"/>
    <xf numFmtId="164" fontId="3" fillId="0" borderId="9" xfId="1" applyNumberFormat="1" applyFont="1" applyBorder="1"/>
  </cellXfs>
  <cellStyles count="2">
    <cellStyle name="Normal" xfId="0" builtinId="0"/>
    <cellStyle name="Normal 2" xfId="1" xr:uid="{A814F893-8302-4086-9FBC-09FF6B6363C0}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\$0.00"/>
      <fill>
        <patternFill patternType="none">
          <fgColor indexed="64"/>
          <bgColor indexed="65"/>
        </patternFill>
      </fill>
      <border diagonalUp="0" diagonalDown="0">
        <left style="thin">
          <color rgb="FFD9D9D9"/>
        </left>
        <right/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\$0.00"/>
      <fill>
        <patternFill patternType="none">
          <fgColor indexed="64"/>
          <bgColor indexed="65"/>
        </patternFill>
      </fill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none">
          <fgColor indexed="64"/>
          <bgColor indexed="65"/>
        </patternFill>
      </fill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/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top style="thin">
          <color rgb="FFD9D9D9"/>
        </top>
      </border>
    </dxf>
    <dxf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</dxf>
    <dxf>
      <border outline="0"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rgb="FF003366"/>
          <bgColor rgb="FF1F4E78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roPackHub\apps\estimation-studio\Costing_form%20ES.xlsx" TargetMode="External"/><Relationship Id="rId1" Type="http://schemas.openxmlformats.org/officeDocument/2006/relationships/externalLinkPath" Target="Costing_form%20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bstrate Costing Master"/>
      <sheetName val="Sheet3"/>
      <sheetName val="Roll"/>
      <sheetName val="Data"/>
      <sheetName val="Sheet1"/>
      <sheetName val="Sleeve"/>
      <sheetName val="Pouch"/>
      <sheetName val="Overall"/>
      <sheetName val="Costing_form ES"/>
    </sheetNames>
    <sheetDataSet>
      <sheetData sheetId="0"/>
      <sheetData sheetId="1"/>
      <sheetData sheetId="2"/>
      <sheetData sheetId="3"/>
      <sheetData sheetId="4"/>
      <sheetData sheetId="5">
        <row r="5">
          <cell r="K5" t="str">
            <v>Kgs</v>
          </cell>
        </row>
        <row r="17">
          <cell r="G17">
            <v>30</v>
          </cell>
        </row>
        <row r="36">
          <cell r="I36">
            <v>20000</v>
          </cell>
        </row>
        <row r="38">
          <cell r="I38">
            <v>584992.02948359831</v>
          </cell>
        </row>
      </sheetData>
      <sheetData sheetId="6"/>
      <sheetData sheetId="7"/>
      <sheetData sheetId="8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61C019-DE5F-464E-B4B8-8AF64B449090}" name="Table11" displayName="Table11" ref="A1:F47" totalsRowShown="0" headerRowDxfId="10" dataDxfId="8" headerRowBorderDxfId="9" tableBorderDxfId="7" totalsRowBorderDxfId="6" headerRowCellStyle="Normal 2" dataCellStyle="Normal 2">
  <tableColumns count="6">
    <tableColumn id="1" xr3:uid="{EEBA6608-C062-4BC4-868B-B931B893756E}" name="Substrate Family" dataDxfId="5" dataCellStyle="Normal 2"/>
    <tableColumn id="2" xr3:uid="{8D4E1531-7168-4307-BCBD-5D98E2CF92A0}" name="Substrate Grade" dataDxfId="4" dataCellStyle="Normal 2"/>
    <tableColumn id="3" xr3:uid="{25C82391-697D-4E5A-9652-C41077A23261}" name="Density (g/cm3)" dataDxfId="3" dataCellStyle="Normal 2"/>
    <tableColumn id="4" xr3:uid="{EF5C8A66-C2A7-47E7-B79A-1BC90E063840}" name="Hoover" dataDxfId="2" dataCellStyle="Normal 2"/>
    <tableColumn id="5" xr3:uid="{EC6CD0B8-7EB3-43C4-8589-8B7B7E825BAC}" name="User Price" dataDxfId="1" dataCellStyle="Normal 2"/>
    <tableColumn id="6" xr3:uid="{678AFD73-E8EC-4A8F-97B7-3599E1FAAAE5}" name="Market Price " dataDxfId="0" dataCellStyle="Normal 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F5465-9BC0-4E3A-B98F-FB70F5D3ED7F}">
  <dimension ref="A1:F47"/>
  <sheetViews>
    <sheetView tabSelected="1" zoomScaleNormal="100" workbookViewId="0">
      <pane ySplit="1" topLeftCell="A2" activePane="bottomLeft" state="frozen"/>
      <selection pane="bottomLeft" activeCell="E3" sqref="E3"/>
    </sheetView>
  </sheetViews>
  <sheetFormatPr defaultColWidth="8.7109375" defaultRowHeight="15" x14ac:dyDescent="0.25"/>
  <cols>
    <col min="1" max="1" width="17.5703125" style="4" customWidth="1"/>
    <col min="2" max="2" width="28.7109375" style="4" bestFit="1" customWidth="1"/>
    <col min="3" max="3" width="16.5703125" style="4" customWidth="1"/>
    <col min="4" max="4" width="30" style="4" customWidth="1"/>
    <col min="5" max="5" width="12" style="4" customWidth="1"/>
    <col min="6" max="6" width="16.42578125" style="4" customWidth="1"/>
    <col min="7" max="16384" width="8.7109375" style="4"/>
  </cols>
  <sheetData>
    <row r="1" spans="1:6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 s="5" t="s">
        <v>6</v>
      </c>
      <c r="B2" s="6" t="s">
        <v>7</v>
      </c>
      <c r="C2" s="7">
        <v>0.91</v>
      </c>
      <c r="D2" s="6" t="str">
        <f>B2</f>
        <v>BOPP Transparent</v>
      </c>
      <c r="E2" s="8">
        <v>3</v>
      </c>
      <c r="F2" s="9"/>
    </row>
    <row r="3" spans="1:6" x14ac:dyDescent="0.25">
      <c r="A3" s="5" t="s">
        <v>6</v>
      </c>
      <c r="B3" s="6" t="s">
        <v>8</v>
      </c>
      <c r="C3" s="7">
        <v>0.91</v>
      </c>
      <c r="D3" s="6" t="s">
        <v>9</v>
      </c>
      <c r="E3" s="8">
        <v>2.5</v>
      </c>
      <c r="F3" s="9"/>
    </row>
    <row r="4" spans="1:6" x14ac:dyDescent="0.25">
      <c r="A4" s="5" t="s">
        <v>6</v>
      </c>
      <c r="B4" s="6" t="s">
        <v>10</v>
      </c>
      <c r="C4" s="7">
        <v>0.95</v>
      </c>
      <c r="D4" s="6" t="s">
        <v>11</v>
      </c>
      <c r="E4" s="8">
        <v>2.6</v>
      </c>
      <c r="F4" s="9"/>
    </row>
    <row r="5" spans="1:6" x14ac:dyDescent="0.25">
      <c r="A5" s="5" t="s">
        <v>6</v>
      </c>
      <c r="B5" s="6" t="s">
        <v>12</v>
      </c>
      <c r="C5" s="7">
        <v>0.7</v>
      </c>
      <c r="D5" s="6" t="s">
        <v>13</v>
      </c>
      <c r="E5" s="8">
        <v>2.6</v>
      </c>
      <c r="F5" s="9"/>
    </row>
    <row r="6" spans="1:6" x14ac:dyDescent="0.25">
      <c r="A6" s="5" t="s">
        <v>6</v>
      </c>
      <c r="B6" s="6" t="s">
        <v>14</v>
      </c>
      <c r="C6" s="7">
        <v>0.91</v>
      </c>
      <c r="D6" s="6" t="s">
        <v>15</v>
      </c>
      <c r="E6" s="8">
        <v>2.6</v>
      </c>
      <c r="F6" s="9"/>
    </row>
    <row r="7" spans="1:6" x14ac:dyDescent="0.25">
      <c r="A7" s="5" t="s">
        <v>6</v>
      </c>
      <c r="B7" s="6" t="s">
        <v>16</v>
      </c>
      <c r="C7" s="7">
        <v>0.91</v>
      </c>
      <c r="D7" s="6" t="s">
        <v>17</v>
      </c>
      <c r="E7" s="8">
        <v>4.7</v>
      </c>
      <c r="F7" s="9"/>
    </row>
    <row r="8" spans="1:6" x14ac:dyDescent="0.25">
      <c r="A8" s="5" t="s">
        <v>6</v>
      </c>
      <c r="B8" s="6" t="s">
        <v>18</v>
      </c>
      <c r="C8" s="7">
        <v>0.91</v>
      </c>
      <c r="D8" s="6" t="s">
        <v>83</v>
      </c>
      <c r="E8" s="8">
        <v>2.5</v>
      </c>
      <c r="F8" s="9"/>
    </row>
    <row r="9" spans="1:6" x14ac:dyDescent="0.25">
      <c r="A9" s="5" t="s">
        <v>6</v>
      </c>
      <c r="B9" s="6" t="s">
        <v>19</v>
      </c>
      <c r="C9" s="7">
        <v>0.62</v>
      </c>
      <c r="D9" s="6" t="s">
        <v>20</v>
      </c>
      <c r="E9" s="8">
        <v>2.85</v>
      </c>
      <c r="F9" s="9"/>
    </row>
    <row r="10" spans="1:6" x14ac:dyDescent="0.25">
      <c r="A10" s="5" t="s">
        <v>6</v>
      </c>
      <c r="B10" s="6" t="s">
        <v>21</v>
      </c>
      <c r="C10" s="7">
        <v>0.91</v>
      </c>
      <c r="D10" s="6" t="s">
        <v>22</v>
      </c>
      <c r="E10" s="8">
        <v>2.8</v>
      </c>
      <c r="F10" s="9"/>
    </row>
    <row r="11" spans="1:6" x14ac:dyDescent="0.25">
      <c r="A11" s="5" t="s">
        <v>23</v>
      </c>
      <c r="B11" s="6" t="s">
        <v>24</v>
      </c>
      <c r="C11" s="7">
        <v>1.4</v>
      </c>
      <c r="D11" s="6" t="s">
        <v>25</v>
      </c>
      <c r="E11" s="8">
        <v>2.15</v>
      </c>
      <c r="F11" s="9"/>
    </row>
    <row r="12" spans="1:6" x14ac:dyDescent="0.25">
      <c r="A12" s="5" t="s">
        <v>23</v>
      </c>
      <c r="B12" s="6" t="s">
        <v>26</v>
      </c>
      <c r="C12" s="7">
        <v>1.4</v>
      </c>
      <c r="D12" s="6" t="s">
        <v>27</v>
      </c>
      <c r="E12" s="8">
        <v>2.25</v>
      </c>
      <c r="F12" s="9"/>
    </row>
    <row r="13" spans="1:6" x14ac:dyDescent="0.25">
      <c r="A13" s="5" t="s">
        <v>23</v>
      </c>
      <c r="B13" s="6" t="s">
        <v>28</v>
      </c>
      <c r="C13" s="7">
        <v>1.4</v>
      </c>
      <c r="D13" s="6" t="s">
        <v>29</v>
      </c>
      <c r="E13" s="8">
        <v>2.5</v>
      </c>
      <c r="F13" s="9"/>
    </row>
    <row r="14" spans="1:6" x14ac:dyDescent="0.25">
      <c r="A14" s="5" t="s">
        <v>23</v>
      </c>
      <c r="B14" s="6" t="s">
        <v>30</v>
      </c>
      <c r="C14" s="7">
        <v>1.4</v>
      </c>
      <c r="D14" s="6" t="s">
        <v>17</v>
      </c>
      <c r="E14" s="8">
        <v>2.6</v>
      </c>
      <c r="F14" s="9"/>
    </row>
    <row r="15" spans="1:6" x14ac:dyDescent="0.25">
      <c r="A15" s="5" t="s">
        <v>23</v>
      </c>
      <c r="B15" s="6" t="s">
        <v>31</v>
      </c>
      <c r="C15" s="7">
        <v>1.4</v>
      </c>
      <c r="D15" s="6" t="s">
        <v>11</v>
      </c>
      <c r="E15" s="8">
        <v>2.7</v>
      </c>
      <c r="F15" s="9"/>
    </row>
    <row r="16" spans="1:6" x14ac:dyDescent="0.25">
      <c r="A16" s="5" t="s">
        <v>23</v>
      </c>
      <c r="B16" s="6" t="s">
        <v>32</v>
      </c>
      <c r="C16" s="7">
        <v>1.4</v>
      </c>
      <c r="D16" s="6" t="s">
        <v>22</v>
      </c>
      <c r="E16" s="8">
        <v>2.9</v>
      </c>
      <c r="F16" s="9"/>
    </row>
    <row r="17" spans="1:6" x14ac:dyDescent="0.25">
      <c r="A17" s="5" t="s">
        <v>23</v>
      </c>
      <c r="B17" s="6" t="s">
        <v>33</v>
      </c>
      <c r="C17" s="7">
        <v>1.4</v>
      </c>
      <c r="D17" s="6" t="s">
        <v>34</v>
      </c>
      <c r="E17" s="8">
        <v>2.2999999999999998</v>
      </c>
      <c r="F17" s="9"/>
    </row>
    <row r="18" spans="1:6" x14ac:dyDescent="0.25">
      <c r="A18" s="5" t="s">
        <v>23</v>
      </c>
      <c r="B18" s="6" t="s">
        <v>33</v>
      </c>
      <c r="C18" s="7">
        <v>1.4</v>
      </c>
      <c r="D18" s="6" t="s">
        <v>35</v>
      </c>
      <c r="E18" s="8">
        <v>2.8</v>
      </c>
      <c r="F18" s="9"/>
    </row>
    <row r="19" spans="1:6" x14ac:dyDescent="0.25">
      <c r="A19" s="5" t="s">
        <v>23</v>
      </c>
      <c r="B19" s="6" t="s">
        <v>84</v>
      </c>
      <c r="C19" s="7">
        <v>2.4</v>
      </c>
      <c r="D19" s="6" t="s">
        <v>85</v>
      </c>
      <c r="E19" s="8">
        <v>2.8</v>
      </c>
      <c r="F19" s="9"/>
    </row>
    <row r="20" spans="1:6" x14ac:dyDescent="0.25">
      <c r="A20" s="5" t="s">
        <v>36</v>
      </c>
      <c r="B20" s="6" t="s">
        <v>37</v>
      </c>
      <c r="C20" s="7">
        <v>0.92</v>
      </c>
      <c r="D20" s="6" t="s">
        <v>38</v>
      </c>
      <c r="E20" s="8">
        <v>1.7</v>
      </c>
      <c r="F20" s="9"/>
    </row>
    <row r="21" spans="1:6" x14ac:dyDescent="0.25">
      <c r="A21" s="5" t="s">
        <v>36</v>
      </c>
      <c r="B21" s="6" t="s">
        <v>39</v>
      </c>
      <c r="C21" s="7">
        <v>0.93</v>
      </c>
      <c r="D21" s="6" t="s">
        <v>38</v>
      </c>
      <c r="E21" s="8">
        <v>1.75</v>
      </c>
      <c r="F21" s="9"/>
    </row>
    <row r="22" spans="1:6" x14ac:dyDescent="0.25">
      <c r="A22" s="5" t="s">
        <v>36</v>
      </c>
      <c r="B22" s="6" t="s">
        <v>40</v>
      </c>
      <c r="C22" s="7">
        <v>0.95</v>
      </c>
      <c r="D22" s="6" t="s">
        <v>41</v>
      </c>
      <c r="E22" s="8">
        <v>2.75</v>
      </c>
      <c r="F22" s="9"/>
    </row>
    <row r="23" spans="1:6" x14ac:dyDescent="0.25">
      <c r="A23" s="5" t="s">
        <v>36</v>
      </c>
      <c r="B23" s="6" t="s">
        <v>42</v>
      </c>
      <c r="C23" s="7">
        <v>0.92</v>
      </c>
      <c r="D23" s="6" t="s">
        <v>43</v>
      </c>
      <c r="E23" s="8">
        <v>1.8</v>
      </c>
      <c r="F23" s="9"/>
    </row>
    <row r="24" spans="1:6" x14ac:dyDescent="0.25">
      <c r="A24" s="5" t="s">
        <v>36</v>
      </c>
      <c r="B24" s="6" t="s">
        <v>44</v>
      </c>
      <c r="C24" s="7">
        <v>0.92</v>
      </c>
      <c r="D24" s="6" t="s">
        <v>45</v>
      </c>
      <c r="E24" s="8">
        <v>2.2000000000000002</v>
      </c>
      <c r="F24" s="9"/>
    </row>
    <row r="25" spans="1:6" x14ac:dyDescent="0.25">
      <c r="A25" s="5" t="s">
        <v>46</v>
      </c>
      <c r="B25" s="6" t="s">
        <v>47</v>
      </c>
      <c r="C25" s="7">
        <v>0.9</v>
      </c>
      <c r="D25" s="6" t="s">
        <v>29</v>
      </c>
      <c r="E25" s="8">
        <v>2.1</v>
      </c>
      <c r="F25" s="9"/>
    </row>
    <row r="26" spans="1:6" x14ac:dyDescent="0.25">
      <c r="A26" s="5" t="s">
        <v>46</v>
      </c>
      <c r="B26" s="6" t="s">
        <v>48</v>
      </c>
      <c r="C26" s="7">
        <v>0.9</v>
      </c>
      <c r="D26" s="6" t="s">
        <v>29</v>
      </c>
      <c r="E26" s="8">
        <v>2.4</v>
      </c>
      <c r="F26" s="9"/>
    </row>
    <row r="27" spans="1:6" x14ac:dyDescent="0.25">
      <c r="A27" s="5" t="s">
        <v>46</v>
      </c>
      <c r="B27" s="6" t="s">
        <v>49</v>
      </c>
      <c r="C27" s="7">
        <v>0.92</v>
      </c>
      <c r="D27" s="6" t="s">
        <v>29</v>
      </c>
      <c r="E27" s="8">
        <v>2.5</v>
      </c>
      <c r="F27" s="9"/>
    </row>
    <row r="28" spans="1:6" x14ac:dyDescent="0.25">
      <c r="A28" s="5" t="s">
        <v>46</v>
      </c>
      <c r="B28" s="6" t="s">
        <v>50</v>
      </c>
      <c r="C28" s="7">
        <v>0.9</v>
      </c>
      <c r="D28" s="6" t="s">
        <v>51</v>
      </c>
      <c r="E28" s="8">
        <v>2.5</v>
      </c>
      <c r="F28" s="9"/>
    </row>
    <row r="29" spans="1:6" x14ac:dyDescent="0.25">
      <c r="A29" s="5" t="s">
        <v>46</v>
      </c>
      <c r="B29" s="6" t="s">
        <v>52</v>
      </c>
      <c r="C29" s="7">
        <v>0.9</v>
      </c>
      <c r="D29" s="6" t="s">
        <v>41</v>
      </c>
      <c r="E29" s="8">
        <v>2.2999999999999998</v>
      </c>
      <c r="F29" s="9"/>
    </row>
    <row r="30" spans="1:6" x14ac:dyDescent="0.25">
      <c r="A30" s="5" t="s">
        <v>53</v>
      </c>
      <c r="B30" s="6" t="s">
        <v>54</v>
      </c>
      <c r="C30" s="7">
        <v>1.1499999999999999</v>
      </c>
      <c r="D30" s="6" t="s">
        <v>29</v>
      </c>
      <c r="E30" s="8">
        <v>2.5</v>
      </c>
      <c r="F30" s="9"/>
    </row>
    <row r="31" spans="1:6" x14ac:dyDescent="0.25">
      <c r="A31" s="5" t="s">
        <v>53</v>
      </c>
      <c r="B31" s="6" t="s">
        <v>55</v>
      </c>
      <c r="C31" s="7">
        <v>1.1499999999999999</v>
      </c>
      <c r="D31" s="6" t="s">
        <v>41</v>
      </c>
      <c r="E31" s="8">
        <v>6</v>
      </c>
      <c r="F31" s="9"/>
    </row>
    <row r="32" spans="1:6" x14ac:dyDescent="0.25">
      <c r="A32" s="5" t="s">
        <v>53</v>
      </c>
      <c r="B32" s="6" t="s">
        <v>56</v>
      </c>
      <c r="C32" s="7">
        <v>1.06</v>
      </c>
      <c r="D32" s="6" t="s">
        <v>57</v>
      </c>
      <c r="E32" s="8">
        <v>2.5</v>
      </c>
      <c r="F32" s="9"/>
    </row>
    <row r="33" spans="1:6" x14ac:dyDescent="0.25">
      <c r="A33" s="5" t="s">
        <v>58</v>
      </c>
      <c r="B33" s="6" t="s">
        <v>59</v>
      </c>
      <c r="C33" s="7">
        <v>2.7</v>
      </c>
      <c r="D33" s="6" t="s">
        <v>60</v>
      </c>
      <c r="E33" s="8">
        <v>4.5</v>
      </c>
      <c r="F33" s="9"/>
    </row>
    <row r="34" spans="1:6" x14ac:dyDescent="0.25">
      <c r="A34" s="5" t="s">
        <v>61</v>
      </c>
      <c r="B34" s="6" t="s">
        <v>62</v>
      </c>
      <c r="C34" s="7">
        <v>0.95</v>
      </c>
      <c r="D34" s="6" t="str">
        <f>Table11[[#This Row],[Substrate Grade]]</f>
        <v>Paper White Coated</v>
      </c>
      <c r="E34" s="8">
        <v>1.5</v>
      </c>
      <c r="F34" s="9"/>
    </row>
    <row r="35" spans="1:6" x14ac:dyDescent="0.25">
      <c r="A35" s="5" t="s">
        <v>61</v>
      </c>
      <c r="B35" s="6" t="s">
        <v>63</v>
      </c>
      <c r="C35" s="7">
        <v>0.78</v>
      </c>
      <c r="D35" s="6" t="str">
        <f>Table11[[#This Row],[Substrate Grade]]</f>
        <v>Kraft Paper Brown</v>
      </c>
      <c r="E35" s="8">
        <v>1.1000000000000001</v>
      </c>
      <c r="F35" s="9"/>
    </row>
    <row r="36" spans="1:6" x14ac:dyDescent="0.25">
      <c r="A36" s="5" t="s">
        <v>61</v>
      </c>
      <c r="B36" s="6" t="s">
        <v>64</v>
      </c>
      <c r="C36" s="7">
        <v>0.82</v>
      </c>
      <c r="D36" s="6" t="str">
        <f>Table11[[#This Row],[Substrate Grade]]</f>
        <v>Kraft Paper White</v>
      </c>
      <c r="E36" s="8">
        <v>1.3</v>
      </c>
      <c r="F36" s="9"/>
    </row>
    <row r="37" spans="1:6" x14ac:dyDescent="0.25">
      <c r="A37" s="5" t="s">
        <v>61</v>
      </c>
      <c r="B37" s="6" t="s">
        <v>65</v>
      </c>
      <c r="C37" s="7">
        <v>0.95</v>
      </c>
      <c r="D37" s="6" t="str">
        <f>Table11[[#This Row],[Substrate Grade]]</f>
        <v>MG Paper</v>
      </c>
      <c r="E37" s="8">
        <v>1</v>
      </c>
      <c r="F37" s="9"/>
    </row>
    <row r="38" spans="1:6" x14ac:dyDescent="0.25">
      <c r="A38" s="5" t="s">
        <v>61</v>
      </c>
      <c r="B38" s="6" t="s">
        <v>66</v>
      </c>
      <c r="C38" s="7">
        <v>1.05</v>
      </c>
      <c r="D38" s="6" t="str">
        <f>Table11[[#This Row],[Substrate Grade]]</f>
        <v>GP Paper</v>
      </c>
      <c r="E38" s="8">
        <v>2</v>
      </c>
      <c r="F38" s="9"/>
    </row>
    <row r="39" spans="1:6" x14ac:dyDescent="0.25">
      <c r="A39" s="5" t="s">
        <v>61</v>
      </c>
      <c r="B39" s="6" t="s">
        <v>67</v>
      </c>
      <c r="C39" s="7">
        <v>0.95</v>
      </c>
      <c r="D39" s="6" t="str">
        <f>Table11[[#This Row],[Substrate Grade]]</f>
        <v>C1S Paper</v>
      </c>
      <c r="E39" s="8">
        <v>1.5</v>
      </c>
      <c r="F39" s="9"/>
    </row>
    <row r="40" spans="1:6" x14ac:dyDescent="0.25">
      <c r="A40" s="5" t="s">
        <v>61</v>
      </c>
      <c r="B40" s="6" t="s">
        <v>68</v>
      </c>
      <c r="C40" s="7">
        <v>1</v>
      </c>
      <c r="D40" s="6" t="str">
        <f>Table11[[#This Row],[Substrate Grade]]</f>
        <v>C2S Paper</v>
      </c>
      <c r="E40" s="8">
        <v>1.4</v>
      </c>
      <c r="F40" s="9"/>
    </row>
    <row r="41" spans="1:6" x14ac:dyDescent="0.25">
      <c r="A41" s="5" t="s">
        <v>69</v>
      </c>
      <c r="B41" s="6" t="s">
        <v>70</v>
      </c>
      <c r="C41" s="7">
        <v>1.35</v>
      </c>
      <c r="D41" s="6" t="s">
        <v>71</v>
      </c>
      <c r="E41" s="8">
        <v>1.5</v>
      </c>
      <c r="F41" s="9"/>
    </row>
    <row r="42" spans="1:6" x14ac:dyDescent="0.25">
      <c r="A42" s="5" t="s">
        <v>69</v>
      </c>
      <c r="B42" s="6" t="s">
        <v>70</v>
      </c>
      <c r="C42" s="7">
        <v>1.35</v>
      </c>
      <c r="D42" s="6" t="s">
        <v>72</v>
      </c>
      <c r="E42" s="8">
        <v>2.5</v>
      </c>
      <c r="F42" s="9"/>
    </row>
    <row r="43" spans="1:6" x14ac:dyDescent="0.25">
      <c r="A43" s="5" t="s">
        <v>69</v>
      </c>
      <c r="B43" s="6" t="s">
        <v>73</v>
      </c>
      <c r="C43" s="7">
        <v>1.32</v>
      </c>
      <c r="D43" s="6" t="s">
        <v>74</v>
      </c>
      <c r="E43" s="8">
        <v>1.9</v>
      </c>
      <c r="F43" s="9"/>
    </row>
    <row r="44" spans="1:6" x14ac:dyDescent="0.25">
      <c r="A44" s="5" t="s">
        <v>69</v>
      </c>
      <c r="B44" s="6" t="s">
        <v>75</v>
      </c>
      <c r="C44" s="7">
        <v>1.32</v>
      </c>
      <c r="D44" s="6" t="s">
        <v>76</v>
      </c>
      <c r="E44" s="8">
        <v>5</v>
      </c>
      <c r="F44" s="9"/>
    </row>
    <row r="45" spans="1:6" x14ac:dyDescent="0.25">
      <c r="A45" s="5" t="s">
        <v>77</v>
      </c>
      <c r="B45" s="6" t="s">
        <v>78</v>
      </c>
      <c r="C45" s="7">
        <v>1.24</v>
      </c>
      <c r="D45" s="6" t="s">
        <v>79</v>
      </c>
      <c r="E45" s="8">
        <v>5</v>
      </c>
      <c r="F45" s="9"/>
    </row>
    <row r="46" spans="1:6" x14ac:dyDescent="0.25">
      <c r="A46" s="5" t="s">
        <v>77</v>
      </c>
      <c r="B46" s="6" t="s">
        <v>80</v>
      </c>
      <c r="C46" s="7">
        <v>1.21</v>
      </c>
      <c r="D46" s="6" t="s">
        <v>81</v>
      </c>
      <c r="E46" s="8">
        <v>4.8</v>
      </c>
      <c r="F46" s="9"/>
    </row>
    <row r="47" spans="1:6" x14ac:dyDescent="0.25">
      <c r="A47" s="10" t="s">
        <v>77</v>
      </c>
      <c r="B47" s="11" t="s">
        <v>82</v>
      </c>
      <c r="C47" s="12">
        <v>1.1299999999999999</v>
      </c>
      <c r="D47" s="11" t="s">
        <v>81</v>
      </c>
      <c r="E47" s="13">
        <v>4.5</v>
      </c>
      <c r="F47" s="14"/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Substrate Costing 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Camille Salloum : IP-PMD-MGT</dc:creator>
  <cp:lastModifiedBy>Camille Salloum : IP-PMD-MGT</cp:lastModifiedBy>
  <dcterms:created xsi:type="dcterms:W3CDTF">2026-06-19T10:38:58Z</dcterms:created>
  <dcterms:modified xsi:type="dcterms:W3CDTF">2026-06-20T05:32:45Z</dcterms:modified>
</cp:coreProperties>
</file>